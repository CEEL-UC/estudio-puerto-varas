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onza\Dropbox\Proyectos personales\Estudio Puerto Varas\Análisis y metadata\graficado\"/>
    </mc:Choice>
  </mc:AlternateContent>
  <xr:revisionPtr revIDLastSave="0" documentId="13_ncr:1_{39444EB8-D901-4B42-AEC4-C56F591E21C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eneral" sheetId="1" r:id="rId1"/>
    <sheet name="Establecimientos" sheetId="3" r:id="rId2"/>
    <sheet name="Migració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G53" i="1"/>
  <c r="H53" i="1"/>
  <c r="I53" i="1"/>
  <c r="J53" i="1"/>
  <c r="K53" i="1"/>
  <c r="L53" i="1"/>
  <c r="B53" i="1"/>
  <c r="C60" i="1"/>
  <c r="D60" i="1"/>
  <c r="E60" i="1"/>
  <c r="F60" i="1"/>
  <c r="G60" i="1"/>
  <c r="H60" i="1"/>
  <c r="I60" i="1"/>
  <c r="J60" i="1"/>
  <c r="K60" i="1"/>
  <c r="L60" i="1"/>
  <c r="B60" i="1"/>
</calcChain>
</file>

<file path=xl/sharedStrings.xml><?xml version="1.0" encoding="utf-8"?>
<sst xmlns="http://schemas.openxmlformats.org/spreadsheetml/2006/main" count="202" uniqueCount="34">
  <si>
    <t>Frutillar</t>
  </si>
  <si>
    <t>Osorno</t>
  </si>
  <si>
    <t>Total</t>
  </si>
  <si>
    <t>Puerto Varas</t>
  </si>
  <si>
    <t>Puerto Montt</t>
  </si>
  <si>
    <t>Municipal</t>
  </si>
  <si>
    <t>Particular Subvencionado</t>
  </si>
  <si>
    <t>Particular Pagado</t>
  </si>
  <si>
    <t>puerto varas</t>
  </si>
  <si>
    <t>SLE</t>
  </si>
  <si>
    <t>Comuna</t>
  </si>
  <si>
    <t>Servicio Local de Educacion</t>
  </si>
  <si>
    <t>Misma comuna</t>
  </si>
  <si>
    <t>Fuera de las 4 comunas</t>
  </si>
  <si>
    <t>Otra de las 3 comunas</t>
  </si>
  <si>
    <t>Los Lagos</t>
  </si>
  <si>
    <t>Metropolitana</t>
  </si>
  <si>
    <t>Valparaíso</t>
  </si>
  <si>
    <t>Magallanes</t>
  </si>
  <si>
    <t>Los Ríos</t>
  </si>
  <si>
    <t>Araucanía</t>
  </si>
  <si>
    <t>Nota: Se cuenta como "entrada" a una comuna en el año X si el alumno aparece matriculado en el tramo regular (1° básico a 4° medio) de un colegio de esa comuna en el año X, pero no estaba matriculado en el tramo regular de ninguna de las 4 comunas el año anterior (X-1). Se excluyen quienes recién comienzan 1° básico.</t>
  </si>
  <si>
    <t>total</t>
  </si>
  <si>
    <t>mantiene</t>
  </si>
  <si>
    <t>entrante</t>
  </si>
  <si>
    <t>ingres~o</t>
  </si>
  <si>
    <t>saliente</t>
  </si>
  <si>
    <t>ingreso</t>
  </si>
  <si>
    <t>Nota:</t>
  </si>
  <si>
    <r>
      <rPr>
        <b/>
        <sz val="11"/>
        <color theme="1"/>
        <rFont val="Calibri"/>
        <family val="2"/>
        <scheme val="minor"/>
      </rPr>
      <t>Entrante:</t>
    </r>
    <r>
      <rPr>
        <sz val="11"/>
        <color theme="1"/>
        <rFont val="Calibri"/>
        <family val="2"/>
        <scheme val="minor"/>
      </rPr>
      <t xml:space="preserve">  es quien aparece matriculado en el tramo regular de esa comuna este año, pero el año anterior no estaba en ninguna de las 4 comunas (excluyendop 1° básico, educación especial y educación de adultas/os)</t>
    </r>
  </si>
  <si>
    <r>
      <rPr>
        <b/>
        <sz val="11"/>
        <color theme="1"/>
        <rFont val="Calibri"/>
        <family val="2"/>
        <scheme val="minor"/>
      </rPr>
      <t>Saliente:</t>
    </r>
    <r>
      <rPr>
        <sz val="11"/>
        <color theme="1"/>
        <rFont val="Calibri"/>
        <family val="2"/>
        <scheme val="minor"/>
      </rPr>
      <t xml:space="preserve"> es quien está matriculado en el tramo regular este año, pero no va a estar el año siguiente en ninguna de las 4 comunas, (exluyendo 4° medios)</t>
    </r>
  </si>
  <si>
    <t>Nota: Para cada alumno marcado como "entrada", se clasifica de dónde viene según su comuna de residencia declarada en el año que llega: Misma comuna (coincide con la del colegio al que entró), Otra de las 4 comunas (vivía en alguna de las otras 3 del estudio), Fuera de las 4 comunas (vive en cualquier otra comuna de Chile), o Sin información (no declaró residencia ese año).</t>
  </si>
  <si>
    <t>Urbano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</si>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</sst>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Total de matrículas en</a:t>
            </a:r>
            <a:r>
              <a:rPr lang="es-CL" baseline="0"/>
              <a:t> Puerto Varas por tipo de dependencia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General!$A$43</c:f>
              <c:strCache>
                <c:ptCount val="1"/>
                <c:pt idx="0">
                  <c:v>Municipal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AB-4C10-BC14-92AB1DA07F5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AB-4C10-BC14-92AB1DA07F5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AB-4C10-BC14-92AB1DA07F5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AB-4C10-BC14-92AB1DA07F5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AB-4C10-BC14-92AB1DA07F52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General!$B$42:$L$42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General!$B$43:$L$43</c:f>
              <c:numCache>
                <c:formatCode>0</c:formatCode>
                <c:ptCount val="11"/>
                <c:pt idx="0">
                  <c:v>3560</c:v>
                </c:pt>
                <c:pt idx="1">
                  <c:v>3578</c:v>
                </c:pt>
                <c:pt idx="2">
                  <c:v>3372</c:v>
                </c:pt>
                <c:pt idx="3">
                  <c:v>3521</c:v>
                </c:pt>
                <c:pt idx="4">
                  <c:v>3467</c:v>
                </c:pt>
                <c:pt idx="5">
                  <c:v>3383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B-4C10-BC14-92AB1DA07F52}"/>
            </c:ext>
          </c:extLst>
        </c:ser>
        <c:ser>
          <c:idx val="1"/>
          <c:order val="1"/>
          <c:tx>
            <c:strRef>
              <c:f>General!$A$44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General!$B$42:$L$42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General!$B$44:$L$44</c:f>
              <c:numCache>
                <c:formatCode>0</c:formatCode>
                <c:ptCount val="11"/>
                <c:pt idx="0">
                  <c:v>3582</c:v>
                </c:pt>
                <c:pt idx="1">
                  <c:v>3866</c:v>
                </c:pt>
                <c:pt idx="2">
                  <c:v>4061</c:v>
                </c:pt>
                <c:pt idx="3">
                  <c:v>3923</c:v>
                </c:pt>
                <c:pt idx="4">
                  <c:v>4015</c:v>
                </c:pt>
                <c:pt idx="5">
                  <c:v>4243</c:v>
                </c:pt>
                <c:pt idx="6">
                  <c:v>4119</c:v>
                </c:pt>
                <c:pt idx="7">
                  <c:v>4135</c:v>
                </c:pt>
                <c:pt idx="8">
                  <c:v>4130</c:v>
                </c:pt>
                <c:pt idx="9">
                  <c:v>4168</c:v>
                </c:pt>
                <c:pt idx="10">
                  <c:v>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B-4C10-BC14-92AB1DA07F52}"/>
            </c:ext>
          </c:extLst>
        </c:ser>
        <c:ser>
          <c:idx val="2"/>
          <c:order val="2"/>
          <c:tx>
            <c:strRef>
              <c:f>General!$A$45</c:f>
              <c:strCache>
                <c:ptCount val="1"/>
                <c:pt idx="0">
                  <c:v>Particular Pagado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General!$B$42:$L$42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General!$B$45:$L$45</c:f>
              <c:numCache>
                <c:formatCode>0</c:formatCode>
                <c:ptCount val="11"/>
                <c:pt idx="0">
                  <c:v>2523</c:v>
                </c:pt>
                <c:pt idx="1">
                  <c:v>2580</c:v>
                </c:pt>
                <c:pt idx="2">
                  <c:v>2504</c:v>
                </c:pt>
                <c:pt idx="3">
                  <c:v>2748</c:v>
                </c:pt>
                <c:pt idx="4">
                  <c:v>2616</c:v>
                </c:pt>
                <c:pt idx="5">
                  <c:v>3195</c:v>
                </c:pt>
                <c:pt idx="6">
                  <c:v>3327</c:v>
                </c:pt>
                <c:pt idx="7">
                  <c:v>3827</c:v>
                </c:pt>
                <c:pt idx="8">
                  <c:v>3985</c:v>
                </c:pt>
                <c:pt idx="9">
                  <c:v>3954</c:v>
                </c:pt>
                <c:pt idx="10">
                  <c:v>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AB-4C10-BC14-92AB1DA07F52}"/>
            </c:ext>
          </c:extLst>
        </c:ser>
        <c:ser>
          <c:idx val="3"/>
          <c:order val="3"/>
          <c:tx>
            <c:strRef>
              <c:f>General!$A$46</c:f>
              <c:strCache>
                <c:ptCount val="1"/>
                <c:pt idx="0">
                  <c:v>SLE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4AB-4C10-BC14-92AB1DA07F5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4AB-4C10-BC14-92AB1DA07F5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4AB-4C10-BC14-92AB1DA07F5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4AB-4C10-BC14-92AB1DA07F5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AB-4C10-BC14-92AB1DA07F5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AB-4C10-BC14-92AB1DA07F52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General!$B$42:$L$42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General!$B$46:$L$46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3533</c:v>
                </c:pt>
                <c:pt idx="7" formatCode="General">
                  <c:v>3593</c:v>
                </c:pt>
                <c:pt idx="8" formatCode="General">
                  <c:v>3651</c:v>
                </c:pt>
                <c:pt idx="9" formatCode="General">
                  <c:v>3612</c:v>
                </c:pt>
                <c:pt idx="10" formatCode="General">
                  <c:v>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AB-4C10-BC14-92AB1DA07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55054944"/>
        <c:axId val="1053204432"/>
      </c:barChart>
      <c:catAx>
        <c:axId val="115505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53204432"/>
        <c:crosses val="autoZero"/>
        <c:auto val="1"/>
        <c:lblAlgn val="ctr"/>
        <c:lblOffset val="100"/>
        <c:noMultiLvlLbl val="0"/>
      </c:catAx>
      <c:valAx>
        <c:axId val="10532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505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de matrículas en Puerto Montt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General!$A$50</c:f>
              <c:strCache>
                <c:ptCount val="1"/>
                <c:pt idx="0">
                  <c:v>Municipal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General!$B$49:$L$49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General!$B$50:$L$50</c:f>
              <c:numCache>
                <c:formatCode>0</c:formatCode>
                <c:ptCount val="11"/>
                <c:pt idx="0">
                  <c:v>23080</c:v>
                </c:pt>
                <c:pt idx="1">
                  <c:v>22480</c:v>
                </c:pt>
                <c:pt idx="2">
                  <c:v>22042</c:v>
                </c:pt>
                <c:pt idx="3">
                  <c:v>21870</c:v>
                </c:pt>
                <c:pt idx="4">
                  <c:v>22006</c:v>
                </c:pt>
                <c:pt idx="5">
                  <c:v>21689</c:v>
                </c:pt>
                <c:pt idx="6">
                  <c:v>22074</c:v>
                </c:pt>
                <c:pt idx="7">
                  <c:v>22025</c:v>
                </c:pt>
                <c:pt idx="8">
                  <c:v>21251</c:v>
                </c:pt>
                <c:pt idx="9">
                  <c:v>20375</c:v>
                </c:pt>
                <c:pt idx="10">
                  <c:v>19651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4-4F19-9BA8-DF5BD1894F08}"/>
            </c:ext>
          </c:extLst>
        </c:ser>
        <c:ser>
          <c:idx val="1"/>
          <c:order val="1"/>
          <c:tx>
            <c:strRef>
              <c:f>General!$A$51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General!$B$49:$L$49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General!$B$51:$L$51</c:f>
              <c:numCache>
                <c:formatCode>0</c:formatCode>
                <c:ptCount val="11"/>
                <c:pt idx="0">
                  <c:v>30130</c:v>
                </c:pt>
                <c:pt idx="1">
                  <c:v>30565</c:v>
                </c:pt>
                <c:pt idx="2">
                  <c:v>30872</c:v>
                </c:pt>
                <c:pt idx="3">
                  <c:v>31067</c:v>
                </c:pt>
                <c:pt idx="4">
                  <c:v>31678</c:v>
                </c:pt>
                <c:pt idx="5">
                  <c:v>32148</c:v>
                </c:pt>
                <c:pt idx="6">
                  <c:v>32485</c:v>
                </c:pt>
                <c:pt idx="7">
                  <c:v>32737</c:v>
                </c:pt>
                <c:pt idx="8">
                  <c:v>33100</c:v>
                </c:pt>
                <c:pt idx="9">
                  <c:v>33022</c:v>
                </c:pt>
                <c:pt idx="10">
                  <c:v>32689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4-4F19-9BA8-DF5BD1894F08}"/>
            </c:ext>
          </c:extLst>
        </c:ser>
        <c:ser>
          <c:idx val="2"/>
          <c:order val="2"/>
          <c:tx>
            <c:strRef>
              <c:f>General!$A$52</c:f>
              <c:strCache>
                <c:ptCount val="1"/>
                <c:pt idx="0">
                  <c:v>Particular Pagado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General!$B$49:$L$49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General!$B$52:$L$52</c:f>
              <c:numCache>
                <c:formatCode>0</c:formatCode>
                <c:ptCount val="11"/>
                <c:pt idx="0">
                  <c:v>3418</c:v>
                </c:pt>
                <c:pt idx="1">
                  <c:v>3459</c:v>
                </c:pt>
                <c:pt idx="2">
                  <c:v>3599</c:v>
                </c:pt>
                <c:pt idx="3">
                  <c:v>3860</c:v>
                </c:pt>
                <c:pt idx="4">
                  <c:v>3948</c:v>
                </c:pt>
                <c:pt idx="5">
                  <c:v>3955</c:v>
                </c:pt>
                <c:pt idx="6">
                  <c:v>3759</c:v>
                </c:pt>
                <c:pt idx="7">
                  <c:v>4108</c:v>
                </c:pt>
                <c:pt idx="8">
                  <c:v>4250</c:v>
                </c:pt>
                <c:pt idx="9">
                  <c:v>4300</c:v>
                </c:pt>
                <c:pt idx="10">
                  <c:v>4378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4-4F19-9BA8-DF5BD1894F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85044848"/>
        <c:axId val="1053177552"/>
      </c:barChart>
      <c:catAx>
        <c:axId val="10850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53177552"/>
        <c:crosses val="autoZero"/>
        <c:auto val="1"/>
        <c:lblAlgn val="ctr"/>
        <c:lblOffset val="100"/>
        <c:noMultiLvlLbl val="0"/>
      </c:catAx>
      <c:valAx>
        <c:axId val="105317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50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de matrículas en Frutillar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General!$A$56</c:f>
              <c:strCache>
                <c:ptCount val="1"/>
                <c:pt idx="0">
                  <c:v>Municipal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EF-4B44-A553-FFEE357812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EF-4B44-A553-FFEE3578126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EF-4B44-A553-FFEE3578126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EF-4B44-A553-FFEE3578126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EF-4B44-A553-FFEE35781266}"/>
                </c:ext>
              </c:extLst>
            </c:dLbl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General!$B$55:$L$55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General!$B$56:$L$56</c:f>
              <c:numCache>
                <c:formatCode>0</c:formatCode>
                <c:ptCount val="11"/>
                <c:pt idx="0">
                  <c:v>2703</c:v>
                </c:pt>
                <c:pt idx="1">
                  <c:v>2662</c:v>
                </c:pt>
                <c:pt idx="2">
                  <c:v>2678</c:v>
                </c:pt>
                <c:pt idx="3">
                  <c:v>2666</c:v>
                </c:pt>
                <c:pt idx="4">
                  <c:v>2643</c:v>
                </c:pt>
                <c:pt idx="5">
                  <c:v>2651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F-4B44-A553-FFEE35781266}"/>
            </c:ext>
          </c:extLst>
        </c:ser>
        <c:ser>
          <c:idx val="1"/>
          <c:order val="1"/>
          <c:tx>
            <c:strRef>
              <c:f>General!$A$57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General!$B$55:$L$55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General!$B$57:$L$57</c:f>
              <c:numCache>
                <c:formatCode>0</c:formatCode>
                <c:ptCount val="11"/>
                <c:pt idx="0">
                  <c:v>1150</c:v>
                </c:pt>
                <c:pt idx="1">
                  <c:v>1133</c:v>
                </c:pt>
                <c:pt idx="2">
                  <c:v>1134</c:v>
                </c:pt>
                <c:pt idx="3">
                  <c:v>1140</c:v>
                </c:pt>
                <c:pt idx="4">
                  <c:v>1145</c:v>
                </c:pt>
                <c:pt idx="5">
                  <c:v>1141</c:v>
                </c:pt>
                <c:pt idx="6">
                  <c:v>1156</c:v>
                </c:pt>
                <c:pt idx="7">
                  <c:v>1172</c:v>
                </c:pt>
                <c:pt idx="8">
                  <c:v>1155</c:v>
                </c:pt>
                <c:pt idx="9">
                  <c:v>1185</c:v>
                </c:pt>
                <c:pt idx="10">
                  <c:v>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F-4B44-A553-FFEE35781266}"/>
            </c:ext>
          </c:extLst>
        </c:ser>
        <c:ser>
          <c:idx val="2"/>
          <c:order val="2"/>
          <c:tx>
            <c:strRef>
              <c:f>General!$A$58</c:f>
              <c:strCache>
                <c:ptCount val="1"/>
                <c:pt idx="0">
                  <c:v>Particular Pagado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General!$B$55:$L$55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General!$B$58:$L$58</c:f>
              <c:numCache>
                <c:formatCode>0</c:formatCode>
                <c:ptCount val="11"/>
                <c:pt idx="0">
                  <c:v>285</c:v>
                </c:pt>
                <c:pt idx="1">
                  <c:v>363</c:v>
                </c:pt>
                <c:pt idx="2">
                  <c:v>411</c:v>
                </c:pt>
                <c:pt idx="3">
                  <c:v>423</c:v>
                </c:pt>
                <c:pt idx="4">
                  <c:v>454</c:v>
                </c:pt>
                <c:pt idx="5">
                  <c:v>499</c:v>
                </c:pt>
                <c:pt idx="6">
                  <c:v>537</c:v>
                </c:pt>
                <c:pt idx="7">
                  <c:v>514</c:v>
                </c:pt>
                <c:pt idx="8">
                  <c:v>611</c:v>
                </c:pt>
                <c:pt idx="9">
                  <c:v>637</c:v>
                </c:pt>
                <c:pt idx="1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EF-4B44-A553-FFEE35781266}"/>
            </c:ext>
          </c:extLst>
        </c:ser>
        <c:ser>
          <c:idx val="3"/>
          <c:order val="3"/>
          <c:tx>
            <c:strRef>
              <c:f>General!$A$59</c:f>
              <c:strCache>
                <c:ptCount val="1"/>
                <c:pt idx="0">
                  <c:v>SLE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EF-4B44-A553-FFEE3578126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EF-4B44-A553-FFEE357812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EF-4B44-A553-FFEE3578126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FEF-4B44-A553-FFEE3578126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FEF-4B44-A553-FFEE3578126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FEF-4B44-A553-FFEE35781266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General!$B$55:$L$55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General!$B$59:$L$59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2706</c:v>
                </c:pt>
                <c:pt idx="7" formatCode="General">
                  <c:v>2856</c:v>
                </c:pt>
                <c:pt idx="8" formatCode="General">
                  <c:v>2962</c:v>
                </c:pt>
                <c:pt idx="9" formatCode="General">
                  <c:v>2886</c:v>
                </c:pt>
                <c:pt idx="10" formatCode="General">
                  <c:v>2884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EF-4B44-A553-FFEE357812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1435376"/>
        <c:axId val="1053069552"/>
      </c:barChart>
      <c:catAx>
        <c:axId val="99143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53069552"/>
        <c:crosses val="autoZero"/>
        <c:auto val="1"/>
        <c:lblAlgn val="ctr"/>
        <c:lblOffset val="100"/>
        <c:noMultiLvlLbl val="0"/>
      </c:catAx>
      <c:valAx>
        <c:axId val="10530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14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Total de matrículas en Osorno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General!$A$63</c:f>
              <c:strCache>
                <c:ptCount val="1"/>
                <c:pt idx="0">
                  <c:v>Municipal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General!$B$62:$L$62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General!$B$63:$L$63</c:f>
              <c:numCache>
                <c:formatCode>0</c:formatCode>
                <c:ptCount val="11"/>
                <c:pt idx="0">
                  <c:v>13488</c:v>
                </c:pt>
                <c:pt idx="1">
                  <c:v>12950</c:v>
                </c:pt>
                <c:pt idx="2">
                  <c:v>13026</c:v>
                </c:pt>
                <c:pt idx="3">
                  <c:v>12854</c:v>
                </c:pt>
                <c:pt idx="4">
                  <c:v>12535</c:v>
                </c:pt>
                <c:pt idx="5">
                  <c:v>12081</c:v>
                </c:pt>
                <c:pt idx="6">
                  <c:v>12106</c:v>
                </c:pt>
                <c:pt idx="7">
                  <c:v>12118</c:v>
                </c:pt>
                <c:pt idx="8">
                  <c:v>11772</c:v>
                </c:pt>
                <c:pt idx="9">
                  <c:v>11247</c:v>
                </c:pt>
                <c:pt idx="10">
                  <c:v>10869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3-4270-9AEA-B55CDCE7B61E}"/>
            </c:ext>
          </c:extLst>
        </c:ser>
        <c:ser>
          <c:idx val="1"/>
          <c:order val="1"/>
          <c:tx>
            <c:strRef>
              <c:f>General!$A$64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General!$B$62:$L$62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General!$B$64:$L$64</c:f>
              <c:numCache>
                <c:formatCode>0</c:formatCode>
                <c:ptCount val="11"/>
                <c:pt idx="0">
                  <c:v>20879</c:v>
                </c:pt>
                <c:pt idx="1">
                  <c:v>21795</c:v>
                </c:pt>
                <c:pt idx="2">
                  <c:v>20929</c:v>
                </c:pt>
                <c:pt idx="3">
                  <c:v>20576</c:v>
                </c:pt>
                <c:pt idx="4">
                  <c:v>20945</c:v>
                </c:pt>
                <c:pt idx="5">
                  <c:v>20906</c:v>
                </c:pt>
                <c:pt idx="6">
                  <c:v>21555</c:v>
                </c:pt>
                <c:pt idx="7">
                  <c:v>21023</c:v>
                </c:pt>
                <c:pt idx="8">
                  <c:v>20469</c:v>
                </c:pt>
                <c:pt idx="9">
                  <c:v>20261</c:v>
                </c:pt>
                <c:pt idx="10">
                  <c:v>19540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3-4270-9AEA-B55CDCE7B61E}"/>
            </c:ext>
          </c:extLst>
        </c:ser>
        <c:ser>
          <c:idx val="2"/>
          <c:order val="2"/>
          <c:tx>
            <c:strRef>
              <c:f>General!$A$65</c:f>
              <c:strCache>
                <c:ptCount val="1"/>
                <c:pt idx="0">
                  <c:v>Particular Pagado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General!$B$62:$L$62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General!$B$65:$L$65</c:f>
              <c:numCache>
                <c:formatCode>0</c:formatCode>
                <c:ptCount val="11"/>
                <c:pt idx="0">
                  <c:v>3362</c:v>
                </c:pt>
                <c:pt idx="1">
                  <c:v>3411</c:v>
                </c:pt>
                <c:pt idx="2">
                  <c:v>3405</c:v>
                </c:pt>
                <c:pt idx="3">
                  <c:v>3758</c:v>
                </c:pt>
                <c:pt idx="4">
                  <c:v>3819</c:v>
                </c:pt>
                <c:pt idx="5">
                  <c:v>3683</c:v>
                </c:pt>
                <c:pt idx="6">
                  <c:v>3553</c:v>
                </c:pt>
                <c:pt idx="7">
                  <c:v>3862</c:v>
                </c:pt>
                <c:pt idx="8">
                  <c:v>3992</c:v>
                </c:pt>
                <c:pt idx="9">
                  <c:v>4047</c:v>
                </c:pt>
                <c:pt idx="10">
                  <c:v>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3-4270-9AEA-B55CDCE7B6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85096816"/>
        <c:axId val="1053286512"/>
      </c:barChart>
      <c:catAx>
        <c:axId val="108509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53286512"/>
        <c:crosses val="autoZero"/>
        <c:auto val="1"/>
        <c:lblAlgn val="ctr"/>
        <c:lblOffset val="100"/>
        <c:noMultiLvlLbl val="0"/>
      </c:catAx>
      <c:valAx>
        <c:axId val="1053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509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Total de matrículas por comuna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General!$O$43</c:f>
              <c:strCache>
                <c:ptCount val="1"/>
                <c:pt idx="0">
                  <c:v>Puerto Montt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General!$P$42:$Z$42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General!$P$43:$Z$43</c:f>
              <c:numCache>
                <c:formatCode>General</c:formatCode>
                <c:ptCount val="11"/>
                <c:pt idx="0">
                  <c:v>56628</c:v>
                </c:pt>
                <c:pt idx="1">
                  <c:v>56504</c:v>
                </c:pt>
                <c:pt idx="2">
                  <c:v>56513</c:v>
                </c:pt>
                <c:pt idx="3">
                  <c:v>56797</c:v>
                </c:pt>
                <c:pt idx="4">
                  <c:v>57632</c:v>
                </c:pt>
                <c:pt idx="5">
                  <c:v>57792</c:v>
                </c:pt>
                <c:pt idx="6">
                  <c:v>58318</c:v>
                </c:pt>
                <c:pt idx="7">
                  <c:v>58870</c:v>
                </c:pt>
                <c:pt idx="8">
                  <c:v>58602</c:v>
                </c:pt>
                <c:pt idx="9">
                  <c:v>57698</c:v>
                </c:pt>
                <c:pt idx="10">
                  <c:v>56718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9-4035-8C04-A7326E154679}"/>
            </c:ext>
          </c:extLst>
        </c:ser>
        <c:ser>
          <c:idx val="1"/>
          <c:order val="1"/>
          <c:tx>
            <c:strRef>
              <c:f>General!$O$44</c:f>
              <c:strCache>
                <c:ptCount val="1"/>
                <c:pt idx="0">
                  <c:v>Frutillar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General!$P$42:$Z$42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General!$P$44:$Z$44</c:f>
              <c:numCache>
                <c:formatCode>General</c:formatCode>
                <c:ptCount val="11"/>
                <c:pt idx="0">
                  <c:v>4138</c:v>
                </c:pt>
                <c:pt idx="1">
                  <c:v>4158</c:v>
                </c:pt>
                <c:pt idx="2">
                  <c:v>4223</c:v>
                </c:pt>
                <c:pt idx="3">
                  <c:v>4229</c:v>
                </c:pt>
                <c:pt idx="4">
                  <c:v>4242</c:v>
                </c:pt>
                <c:pt idx="5">
                  <c:v>4291</c:v>
                </c:pt>
                <c:pt idx="6">
                  <c:v>4399</c:v>
                </c:pt>
                <c:pt idx="7">
                  <c:v>4542</c:v>
                </c:pt>
                <c:pt idx="8">
                  <c:v>4728</c:v>
                </c:pt>
                <c:pt idx="9">
                  <c:v>4708</c:v>
                </c:pt>
                <c:pt idx="10">
                  <c:v>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9-4035-8C04-A7326E154679}"/>
            </c:ext>
          </c:extLst>
        </c:ser>
        <c:ser>
          <c:idx val="2"/>
          <c:order val="2"/>
          <c:tx>
            <c:strRef>
              <c:f>General!$O$45</c:f>
              <c:strCache>
                <c:ptCount val="1"/>
                <c:pt idx="0">
                  <c:v>Puerto Varas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General!$P$42:$Z$42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General!$P$45:$Z$45</c:f>
              <c:numCache>
                <c:formatCode>General</c:formatCode>
                <c:ptCount val="11"/>
                <c:pt idx="0">
                  <c:v>9665</c:v>
                </c:pt>
                <c:pt idx="1">
                  <c:v>10024</c:v>
                </c:pt>
                <c:pt idx="2">
                  <c:v>9937</c:v>
                </c:pt>
                <c:pt idx="3">
                  <c:v>10192</c:v>
                </c:pt>
                <c:pt idx="4">
                  <c:v>10098</c:v>
                </c:pt>
                <c:pt idx="5">
                  <c:v>10821</c:v>
                </c:pt>
                <c:pt idx="6">
                  <c:v>10979</c:v>
                </c:pt>
                <c:pt idx="7">
                  <c:v>11555</c:v>
                </c:pt>
                <c:pt idx="8">
                  <c:v>11766</c:v>
                </c:pt>
                <c:pt idx="9">
                  <c:v>11734</c:v>
                </c:pt>
                <c:pt idx="10">
                  <c:v>11715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9-4035-8C04-A7326E154679}"/>
            </c:ext>
          </c:extLst>
        </c:ser>
        <c:ser>
          <c:idx val="3"/>
          <c:order val="3"/>
          <c:tx>
            <c:strRef>
              <c:f>General!$O$46</c:f>
              <c:strCache>
                <c:ptCount val="1"/>
                <c:pt idx="0">
                  <c:v>Osorno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General!$P$42:$Z$42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General!$P$46:$Z$46</c:f>
              <c:numCache>
                <c:formatCode>General</c:formatCode>
                <c:ptCount val="11"/>
                <c:pt idx="0">
                  <c:v>37729</c:v>
                </c:pt>
                <c:pt idx="1">
                  <c:v>38156</c:v>
                </c:pt>
                <c:pt idx="2">
                  <c:v>37360</c:v>
                </c:pt>
                <c:pt idx="3">
                  <c:v>37188</c:v>
                </c:pt>
                <c:pt idx="4">
                  <c:v>37299</c:v>
                </c:pt>
                <c:pt idx="5">
                  <c:v>36670</c:v>
                </c:pt>
                <c:pt idx="6">
                  <c:v>37214</c:v>
                </c:pt>
                <c:pt idx="7">
                  <c:v>37003</c:v>
                </c:pt>
                <c:pt idx="8">
                  <c:v>36233</c:v>
                </c:pt>
                <c:pt idx="9">
                  <c:v>35555</c:v>
                </c:pt>
                <c:pt idx="10">
                  <c:v>34482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B9-4035-8C04-A7326E154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652512"/>
        <c:axId val="2082245872"/>
      </c:lineChart>
      <c:catAx>
        <c:axId val="11776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45872"/>
        <c:crosses val="autoZero"/>
        <c:auto val="1"/>
        <c:lblAlgn val="ctr"/>
        <c:lblOffset val="100"/>
        <c:noMultiLvlLbl val="0"/>
      </c:catAx>
      <c:valAx>
        <c:axId val="20822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65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 anual</a:t>
            </a:r>
            <a:r>
              <a:rPr lang="es-CL" baseline="0"/>
              <a:t> establecimientos en Puerto Montt por tipo de dependencia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Establecimientos!$A$63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Establecimientos!$B$62:$L$62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Establecimientos!$B$63:$L$63</c:f>
              <c:numCache>
                <c:formatCode>General</c:formatCode>
                <c:ptCount val="11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76</c:v>
                </c:pt>
                <c:pt idx="4">
                  <c:v>76</c:v>
                </c:pt>
                <c:pt idx="5">
                  <c:v>76</c:v>
                </c:pt>
                <c:pt idx="6">
                  <c:v>76</c:v>
                </c:pt>
                <c:pt idx="7">
                  <c:v>76</c:v>
                </c:pt>
                <c:pt idx="8">
                  <c:v>76</c:v>
                </c:pt>
                <c:pt idx="9">
                  <c:v>76</c:v>
                </c:pt>
                <c:pt idx="10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0-416F-BF87-F099A74AE88D}"/>
            </c:ext>
          </c:extLst>
        </c:ser>
        <c:ser>
          <c:idx val="1"/>
          <c:order val="1"/>
          <c:tx>
            <c:strRef>
              <c:f>Establecimientos!$A$64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Establecimientos!$B$62:$L$62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Establecimientos!$B$64:$L$64</c:f>
              <c:numCache>
                <c:formatCode>General</c:formatCode>
                <c:ptCount val="11"/>
                <c:pt idx="0">
                  <c:v>90</c:v>
                </c:pt>
                <c:pt idx="1">
                  <c:v>85</c:v>
                </c:pt>
                <c:pt idx="2">
                  <c:v>83</c:v>
                </c:pt>
                <c:pt idx="3">
                  <c:v>81</c:v>
                </c:pt>
                <c:pt idx="4">
                  <c:v>81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0-416F-BF87-F099A74AE88D}"/>
            </c:ext>
          </c:extLst>
        </c:ser>
        <c:ser>
          <c:idx val="2"/>
          <c:order val="2"/>
          <c:tx>
            <c:strRef>
              <c:f>Establecimientos!$A$65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Establecimientos!$B$62:$L$62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Establecimientos!$B$65:$L$65</c:f>
              <c:numCache>
                <c:formatCode>General</c:formatCode>
                <c:ptCount val="11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0-416F-BF87-F099A74AE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604896"/>
        <c:axId val="2082293392"/>
      </c:lineChart>
      <c:catAx>
        <c:axId val="115960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93392"/>
        <c:crosses val="autoZero"/>
        <c:auto val="1"/>
        <c:lblAlgn val="ctr"/>
        <c:lblOffset val="100"/>
        <c:noMultiLvlLbl val="0"/>
      </c:catAx>
      <c:valAx>
        <c:axId val="20822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60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</a:t>
            </a:r>
            <a:r>
              <a:rPr lang="es-CL" baseline="0"/>
              <a:t> anual de establecimientos en Frutillar por tipo de dependencia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Establecimientos!$A$69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Establecimientos!$B$68:$L$68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Establecimientos!$B$69:$L$69</c:f>
              <c:numCache>
                <c:formatCode>General</c:formatCode>
                <c:ptCount val="11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C-498C-8CC6-0913A298AC4E}"/>
            </c:ext>
          </c:extLst>
        </c:ser>
        <c:ser>
          <c:idx val="1"/>
          <c:order val="1"/>
          <c:tx>
            <c:strRef>
              <c:f>Establecimientos!$A$70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Establecimientos!$B$68:$L$68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Establecimientos!$B$70:$L$70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C-498C-8CC6-0913A298AC4E}"/>
            </c:ext>
          </c:extLst>
        </c:ser>
        <c:ser>
          <c:idx val="2"/>
          <c:order val="2"/>
          <c:tx>
            <c:strRef>
              <c:f>Establecimientos!$A$71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Establecimientos!$B$68:$L$68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Establecimientos!$B$71:$L$71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C-498C-8CC6-0913A298AC4E}"/>
            </c:ext>
          </c:extLst>
        </c:ser>
        <c:ser>
          <c:idx val="3"/>
          <c:order val="3"/>
          <c:tx>
            <c:strRef>
              <c:f>Establecimientos!$A$72</c:f>
              <c:strCache>
                <c:ptCount val="1"/>
                <c:pt idx="0">
                  <c:v>Servicio Local de Educacion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Establecimientos!$B$68:$L$68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Establecimientos!$B$72:$L$72</c:f>
              <c:numCache>
                <c:formatCode>General</c:formatCode>
                <c:ptCount val="11"/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AC-498C-8CC6-0913A298A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435568"/>
        <c:axId val="2082240112"/>
      </c:lineChart>
      <c:catAx>
        <c:axId val="20084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40112"/>
        <c:crosses val="autoZero"/>
        <c:auto val="1"/>
        <c:lblAlgn val="ctr"/>
        <c:lblOffset val="100"/>
        <c:noMultiLvlLbl val="0"/>
      </c:catAx>
      <c:valAx>
        <c:axId val="20822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0843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 anual</a:t>
            </a:r>
            <a:r>
              <a:rPr lang="es-CL" baseline="0"/>
              <a:t> de establecimiento en Puerto Varas por tipo de dependencia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Establecimientos!$A$76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Establecimientos!$B$75:$L$75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Establecimientos!$B$76:$L$76</c:f>
              <c:numCache>
                <c:formatCode>General</c:formatCode>
                <c:ptCount val="11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A-4A7B-9378-35788775461F}"/>
            </c:ext>
          </c:extLst>
        </c:ser>
        <c:ser>
          <c:idx val="1"/>
          <c:order val="1"/>
          <c:tx>
            <c:strRef>
              <c:f>Establecimientos!$A$77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Establecimientos!$B$75:$L$75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Establecimientos!$B$77:$L$77</c:f>
              <c:numCache>
                <c:formatCode>General</c:formatCode>
                <c:ptCount val="11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A-4A7B-9378-35788775461F}"/>
            </c:ext>
          </c:extLst>
        </c:ser>
        <c:ser>
          <c:idx val="2"/>
          <c:order val="2"/>
          <c:tx>
            <c:strRef>
              <c:f>Establecimientos!$A$78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Establecimientos!$B$75:$L$75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Establecimientos!$B$78:$L$78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6A-4A7B-9378-35788775461F}"/>
            </c:ext>
          </c:extLst>
        </c:ser>
        <c:ser>
          <c:idx val="3"/>
          <c:order val="3"/>
          <c:tx>
            <c:strRef>
              <c:f>Establecimientos!$A$79</c:f>
              <c:strCache>
                <c:ptCount val="1"/>
                <c:pt idx="0">
                  <c:v>Servicio Local de Educacion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Establecimientos!$B$75:$L$75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Establecimientos!$B$79:$L$79</c:f>
              <c:numCache>
                <c:formatCode>General</c:formatCode>
                <c:ptCount val="11"/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6A-4A7B-9378-35788775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582160"/>
        <c:axId val="2082238672"/>
      </c:lineChart>
      <c:catAx>
        <c:axId val="11595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38672"/>
        <c:crosses val="autoZero"/>
        <c:auto val="1"/>
        <c:lblAlgn val="ctr"/>
        <c:lblOffset val="100"/>
        <c:noMultiLvlLbl val="0"/>
      </c:catAx>
      <c:valAx>
        <c:axId val="20822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5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</a:t>
            </a:r>
            <a:r>
              <a:rPr lang="es-CL" baseline="0"/>
              <a:t> anual de establecimientos en Osorno por tipo de dependencia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Establecimientos!$A$83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Establecimientos!$B$82:$L$82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Establecimientos!$B$83:$L$83</c:f>
              <c:numCache>
                <c:formatCode>General</c:formatCode>
                <c:ptCount val="11"/>
                <c:pt idx="0">
                  <c:v>41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9-433C-8620-B8D8D4EAEFA1}"/>
            </c:ext>
          </c:extLst>
        </c:ser>
        <c:ser>
          <c:idx val="1"/>
          <c:order val="1"/>
          <c:tx>
            <c:strRef>
              <c:f>Establecimientos!$A$84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Establecimientos!$B$82:$L$82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Establecimientos!$B$84:$L$84</c:f>
              <c:numCache>
                <c:formatCode>General</c:formatCode>
                <c:ptCount val="11"/>
                <c:pt idx="0">
                  <c:v>79</c:v>
                </c:pt>
                <c:pt idx="1">
                  <c:v>77</c:v>
                </c:pt>
                <c:pt idx="2">
                  <c:v>76</c:v>
                </c:pt>
                <c:pt idx="3">
                  <c:v>71</c:v>
                </c:pt>
                <c:pt idx="4">
                  <c:v>71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67</c:v>
                </c:pt>
                <c:pt idx="9">
                  <c:v>67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9-433C-8620-B8D8D4EAEFA1}"/>
            </c:ext>
          </c:extLst>
        </c:ser>
        <c:ser>
          <c:idx val="2"/>
          <c:order val="2"/>
          <c:tx>
            <c:strRef>
              <c:f>Establecimientos!$A$85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Establecimientos!$B$82:$L$82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Establecimientos!$B$85:$L$85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D9-433C-8620-B8D8D4EA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618176"/>
        <c:axId val="2082317392"/>
      </c:lineChart>
      <c:catAx>
        <c:axId val="209561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17392"/>
        <c:crosses val="autoZero"/>
        <c:auto val="1"/>
        <c:lblAlgn val="ctr"/>
        <c:lblOffset val="100"/>
        <c:noMultiLvlLbl val="0"/>
      </c:catAx>
      <c:valAx>
        <c:axId val="20823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56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 anual de establecimientos urbanos-rurales</a:t>
            </a:r>
            <a:r>
              <a:rPr lang="es-CL" baseline="0"/>
              <a:t> </a:t>
            </a:r>
            <a:r>
              <a:rPr lang="es-CL"/>
              <a:t>Puerto</a:t>
            </a:r>
            <a:r>
              <a:rPr lang="es-CL" baseline="0"/>
              <a:t> Montt 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Establecimientos!$A$95</c:f>
              <c:strCache>
                <c:ptCount val="1"/>
                <c:pt idx="0">
                  <c:v>Urbano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Establecimientos!$B$94:$L$94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Establecimientos!$B$95:$L$95</c:f>
              <c:numCache>
                <c:formatCode>General</c:formatCode>
                <c:ptCount val="11"/>
                <c:pt idx="0">
                  <c:v>126</c:v>
                </c:pt>
                <c:pt idx="1">
                  <c:v>122</c:v>
                </c:pt>
                <c:pt idx="2">
                  <c:v>119</c:v>
                </c:pt>
                <c:pt idx="3">
                  <c:v>118</c:v>
                </c:pt>
                <c:pt idx="4">
                  <c:v>118</c:v>
                </c:pt>
                <c:pt idx="5">
                  <c:v>116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9-499A-A279-E291D5F29790}"/>
            </c:ext>
          </c:extLst>
        </c:ser>
        <c:ser>
          <c:idx val="1"/>
          <c:order val="1"/>
          <c:tx>
            <c:strRef>
              <c:f>Establecimientos!$A$96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Establecimientos!$B$94:$L$94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Establecimientos!$B$96:$L$96</c:f>
              <c:numCache>
                <c:formatCode>General</c:formatCode>
                <c:ptCount val="11"/>
                <c:pt idx="0">
                  <c:v>47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9-499A-A279-E291D5F297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505456"/>
        <c:axId val="2082328432"/>
      </c:barChart>
      <c:catAx>
        <c:axId val="128350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28432"/>
        <c:crosses val="autoZero"/>
        <c:auto val="1"/>
        <c:lblAlgn val="ctr"/>
        <c:lblOffset val="100"/>
        <c:noMultiLvlLbl val="0"/>
      </c:catAx>
      <c:valAx>
        <c:axId val="20823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8350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Cantidad anual de establecimientos urbanos-rurales Frutillar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Establecimientos!$A$100</c:f>
              <c:strCache>
                <c:ptCount val="1"/>
                <c:pt idx="0">
                  <c:v>Urbano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Establecimientos!$B$99:$L$99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Establecimientos!$B$100:$L$100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5-4956-9971-126E880E48BD}"/>
            </c:ext>
          </c:extLst>
        </c:ser>
        <c:ser>
          <c:idx val="1"/>
          <c:order val="1"/>
          <c:tx>
            <c:strRef>
              <c:f>Establecimientos!$A$101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Establecimientos!$B$99:$L$99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Establecimientos!$B$101:$L$101</c:f>
              <c:numCache>
                <c:formatCode>General</c:formatCode>
                <c:ptCount val="11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5-4956-9971-126E880E48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551856"/>
        <c:axId val="2082321712"/>
      </c:barChart>
      <c:catAx>
        <c:axId val="128355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21712"/>
        <c:crosses val="autoZero"/>
        <c:auto val="1"/>
        <c:lblAlgn val="ctr"/>
        <c:lblOffset val="100"/>
        <c:noMultiLvlLbl val="0"/>
      </c:catAx>
      <c:valAx>
        <c:axId val="20823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8355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Cantidad anual de establecimientos urbanos-rurales Puerto Varas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Establecimientos!$A$105</c:f>
              <c:strCache>
                <c:ptCount val="1"/>
                <c:pt idx="0">
                  <c:v>Urbano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Establecimientos!$B$104:$L$104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Establecimientos!$B$105:$L$105</c:f>
              <c:numCache>
                <c:formatCode>General</c:formatCode>
                <c:ptCount val="11"/>
                <c:pt idx="0">
                  <c:v>18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B-441B-A2C0-421B8D49955C}"/>
            </c:ext>
          </c:extLst>
        </c:ser>
        <c:ser>
          <c:idx val="1"/>
          <c:order val="1"/>
          <c:tx>
            <c:strRef>
              <c:f>Establecimientos!$A$106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Establecimientos!$B$104:$L$104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Establecimientos!$B$106:$L$106</c:f>
              <c:numCache>
                <c:formatCode>General</c:formatCode>
                <c:ptCount val="11"/>
                <c:pt idx="0">
                  <c:v>20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16</c:v>
                </c:pt>
                <c:pt idx="9">
                  <c:v>16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B-441B-A2C0-421B8D4995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77673392"/>
        <c:axId val="2082318352"/>
      </c:barChart>
      <c:catAx>
        <c:axId val="117767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18352"/>
        <c:crosses val="autoZero"/>
        <c:auto val="1"/>
        <c:lblAlgn val="ctr"/>
        <c:lblOffset val="100"/>
        <c:noMultiLvlLbl val="0"/>
      </c:catAx>
      <c:valAx>
        <c:axId val="20823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6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Cantidad anual de establecimientos urbanos-rurales Osorno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Establecimientos!$A$110</c:f>
              <c:strCache>
                <c:ptCount val="1"/>
                <c:pt idx="0">
                  <c:v>Urbano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Establecimientos!$B$109:$L$109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Establecimientos!$B$110:$L$110</c:f>
              <c:numCache>
                <c:formatCode>General</c:formatCode>
                <c:ptCount val="11"/>
                <c:pt idx="0">
                  <c:v>107</c:v>
                </c:pt>
                <c:pt idx="1">
                  <c:v>104</c:v>
                </c:pt>
                <c:pt idx="2">
                  <c:v>103</c:v>
                </c:pt>
                <c:pt idx="3">
                  <c:v>100</c:v>
                </c:pt>
                <c:pt idx="4">
                  <c:v>98</c:v>
                </c:pt>
                <c:pt idx="5">
                  <c:v>96</c:v>
                </c:pt>
                <c:pt idx="6">
                  <c:v>95</c:v>
                </c:pt>
                <c:pt idx="7">
                  <c:v>95</c:v>
                </c:pt>
                <c:pt idx="8">
                  <c:v>91</c:v>
                </c:pt>
                <c:pt idx="9">
                  <c:v>91</c:v>
                </c:pt>
                <c:pt idx="1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6-43F6-A78A-D2998061D344}"/>
            </c:ext>
          </c:extLst>
        </c:ser>
        <c:ser>
          <c:idx val="1"/>
          <c:order val="1"/>
          <c:tx>
            <c:strRef>
              <c:f>Establecimientos!$A$111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Establecimientos!$B$109:$L$109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Establecimientos!$B$111:$L$111</c:f>
              <c:numCache>
                <c:formatCode>General</c:formatCode>
                <c:ptCount val="1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6-43F6-A78A-D2998061D3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545360"/>
        <c:axId val="2082296272"/>
      </c:barChart>
      <c:catAx>
        <c:axId val="128354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96272"/>
        <c:crosses val="autoZero"/>
        <c:auto val="1"/>
        <c:lblAlgn val="ctr"/>
        <c:lblOffset val="100"/>
        <c:noMultiLvlLbl val="0"/>
      </c:catAx>
      <c:valAx>
        <c:axId val="208229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8354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Cantidad anual</a:t>
            </a:r>
            <a:r>
              <a:rPr lang="es-CL" baseline="0"/>
              <a:t> de establecimientos establecimientos por comuna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Establecimientos!$A$121</c:f>
              <c:strCache>
                <c:ptCount val="1"/>
                <c:pt idx="0">
                  <c:v>Puerto Montt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Establecimientos!$B$120:$L$120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Establecimientos!$B$121:$L$121</c:f>
              <c:numCache>
                <c:formatCode>General</c:formatCode>
                <c:ptCount val="11"/>
                <c:pt idx="0">
                  <c:v>173</c:v>
                </c:pt>
                <c:pt idx="1">
                  <c:v>166</c:v>
                </c:pt>
                <c:pt idx="2">
                  <c:v>163</c:v>
                </c:pt>
                <c:pt idx="3">
                  <c:v>162</c:v>
                </c:pt>
                <c:pt idx="4">
                  <c:v>162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3-4449-A9AA-68E854942B98}"/>
            </c:ext>
          </c:extLst>
        </c:ser>
        <c:ser>
          <c:idx val="1"/>
          <c:order val="1"/>
          <c:tx>
            <c:strRef>
              <c:f>Establecimientos!$A$122</c:f>
              <c:strCache>
                <c:ptCount val="1"/>
                <c:pt idx="0">
                  <c:v>Frutillar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Establecimientos!$B$120:$L$120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Establecimientos!$B$122:$L$122</c:f>
              <c:numCache>
                <c:formatCode>General</c:formatCode>
                <c:ptCount val="11"/>
                <c:pt idx="0">
                  <c:v>28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25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3-4449-A9AA-68E854942B98}"/>
            </c:ext>
          </c:extLst>
        </c:ser>
        <c:ser>
          <c:idx val="2"/>
          <c:order val="2"/>
          <c:tx>
            <c:strRef>
              <c:f>Establecimientos!$A$123</c:f>
              <c:strCache>
                <c:ptCount val="1"/>
                <c:pt idx="0">
                  <c:v>Puerto Varas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Establecimientos!$B$120:$L$120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Establecimientos!$B$123:$L$123</c:f>
              <c:numCache>
                <c:formatCode>General</c:formatCode>
                <c:ptCount val="11"/>
                <c:pt idx="0">
                  <c:v>38</c:v>
                </c:pt>
                <c:pt idx="1">
                  <c:v>35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38</c:v>
                </c:pt>
                <c:pt idx="6">
                  <c:v>37</c:v>
                </c:pt>
                <c:pt idx="7">
                  <c:v>37</c:v>
                </c:pt>
                <c:pt idx="8">
                  <c:v>36</c:v>
                </c:pt>
                <c:pt idx="9">
                  <c:v>36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B3-4449-A9AA-68E854942B98}"/>
            </c:ext>
          </c:extLst>
        </c:ser>
        <c:ser>
          <c:idx val="3"/>
          <c:order val="3"/>
          <c:tx>
            <c:strRef>
              <c:f>Establecimientos!$A$124</c:f>
              <c:strCache>
                <c:ptCount val="1"/>
                <c:pt idx="0">
                  <c:v>Osorno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Establecimientos!$B$120:$L$120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Establecimientos!$B$124:$L$124</c:f>
              <c:numCache>
                <c:formatCode>General</c:formatCode>
                <c:ptCount val="11"/>
                <c:pt idx="0">
                  <c:v>127</c:v>
                </c:pt>
                <c:pt idx="1">
                  <c:v>124</c:v>
                </c:pt>
                <c:pt idx="2">
                  <c:v>123</c:v>
                </c:pt>
                <c:pt idx="3">
                  <c:v>119</c:v>
                </c:pt>
                <c:pt idx="4">
                  <c:v>117</c:v>
                </c:pt>
                <c:pt idx="5">
                  <c:v>115</c:v>
                </c:pt>
                <c:pt idx="6">
                  <c:v>115</c:v>
                </c:pt>
                <c:pt idx="7">
                  <c:v>116</c:v>
                </c:pt>
                <c:pt idx="8">
                  <c:v>112</c:v>
                </c:pt>
                <c:pt idx="9">
                  <c:v>112</c:v>
                </c:pt>
                <c:pt idx="10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B3-4449-A9AA-68E854942B9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631344"/>
        <c:axId val="2082299632"/>
      </c:lineChart>
      <c:catAx>
        <c:axId val="11596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99632"/>
        <c:crosses val="autoZero"/>
        <c:auto val="1"/>
        <c:lblAlgn val="ctr"/>
        <c:lblOffset val="100"/>
        <c:noMultiLvlLbl val="0"/>
      </c:catAx>
      <c:valAx>
        <c:axId val="20822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6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</a:t>
            </a:r>
            <a:r>
              <a:rPr lang="es-CL" baseline="0"/>
              <a:t> de estudiantes a </a:t>
            </a:r>
            <a:r>
              <a:rPr lang="es-CL"/>
              <a:t>Puerto Montt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Migración!$B$88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Migración!$C$87:$L$87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Migración!$C$88:$L$88</c:f>
              <c:numCache>
                <c:formatCode>General</c:formatCode>
                <c:ptCount val="10"/>
                <c:pt idx="0">
                  <c:v>964</c:v>
                </c:pt>
                <c:pt idx="1">
                  <c:v>946</c:v>
                </c:pt>
                <c:pt idx="2">
                  <c:v>1121</c:v>
                </c:pt>
                <c:pt idx="3">
                  <c:v>1293</c:v>
                </c:pt>
                <c:pt idx="4">
                  <c:v>1138</c:v>
                </c:pt>
                <c:pt idx="5">
                  <c:v>964</c:v>
                </c:pt>
                <c:pt idx="6">
                  <c:v>1653</c:v>
                </c:pt>
                <c:pt idx="7">
                  <c:v>1448</c:v>
                </c:pt>
                <c:pt idx="8">
                  <c:v>1283</c:v>
                </c:pt>
                <c:pt idx="9">
                  <c:v>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A-4673-A6CD-C82AD4A415F5}"/>
            </c:ext>
          </c:extLst>
        </c:ser>
        <c:ser>
          <c:idx val="1"/>
          <c:order val="1"/>
          <c:tx>
            <c:strRef>
              <c:f>Migración!$B$89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Migración!$C$87:$L$87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Migración!$C$89:$L$89</c:f>
              <c:numCache>
                <c:formatCode>General</c:formatCode>
                <c:ptCount val="10"/>
                <c:pt idx="0">
                  <c:v>610</c:v>
                </c:pt>
                <c:pt idx="1">
                  <c:v>616</c:v>
                </c:pt>
                <c:pt idx="2">
                  <c:v>639</c:v>
                </c:pt>
                <c:pt idx="3">
                  <c:v>686</c:v>
                </c:pt>
                <c:pt idx="4">
                  <c:v>609</c:v>
                </c:pt>
                <c:pt idx="5">
                  <c:v>568</c:v>
                </c:pt>
                <c:pt idx="6">
                  <c:v>823</c:v>
                </c:pt>
                <c:pt idx="7">
                  <c:v>689</c:v>
                </c:pt>
                <c:pt idx="8">
                  <c:v>622</c:v>
                </c:pt>
                <c:pt idx="9">
                  <c:v>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A-4673-A6CD-C82AD4A415F5}"/>
            </c:ext>
          </c:extLst>
        </c:ser>
        <c:ser>
          <c:idx val="2"/>
          <c:order val="2"/>
          <c:tx>
            <c:strRef>
              <c:f>Migración!$B$90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Migración!$C$87:$L$87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Migración!$C$90:$L$90</c:f>
              <c:numCache>
                <c:formatCode>General</c:formatCode>
                <c:ptCount val="10"/>
                <c:pt idx="0">
                  <c:v>56</c:v>
                </c:pt>
                <c:pt idx="1">
                  <c:v>68</c:v>
                </c:pt>
                <c:pt idx="2">
                  <c:v>59</c:v>
                </c:pt>
                <c:pt idx="3">
                  <c:v>71</c:v>
                </c:pt>
                <c:pt idx="4">
                  <c:v>69</c:v>
                </c:pt>
                <c:pt idx="5">
                  <c:v>75</c:v>
                </c:pt>
                <c:pt idx="6">
                  <c:v>121</c:v>
                </c:pt>
                <c:pt idx="7">
                  <c:v>106</c:v>
                </c:pt>
                <c:pt idx="8">
                  <c:v>94</c:v>
                </c:pt>
                <c:pt idx="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A-4673-A6CD-C82AD4A41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327648"/>
        <c:axId val="2082269872"/>
      </c:lineChart>
      <c:catAx>
        <c:axId val="201232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69872"/>
        <c:crosses val="autoZero"/>
        <c:auto val="1"/>
        <c:lblAlgn val="ctr"/>
        <c:lblOffset val="100"/>
        <c:noMultiLvlLbl val="0"/>
      </c:catAx>
      <c:valAx>
        <c:axId val="20822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1232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 de estudiantes</a:t>
            </a:r>
            <a:r>
              <a:rPr lang="es-CL" baseline="0"/>
              <a:t> </a:t>
            </a:r>
            <a:r>
              <a:rPr lang="es-CL"/>
              <a:t>Frutillar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Migración!$B$94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Migración!$C$93:$L$93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Migración!$C$94:$L$94</c:f>
              <c:numCache>
                <c:formatCode>General</c:formatCode>
                <c:ptCount val="10"/>
                <c:pt idx="0">
                  <c:v>184</c:v>
                </c:pt>
                <c:pt idx="1">
                  <c:v>200</c:v>
                </c:pt>
                <c:pt idx="2">
                  <c:v>226</c:v>
                </c:pt>
                <c:pt idx="3">
                  <c:v>205</c:v>
                </c:pt>
                <c:pt idx="4">
                  <c:v>203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3-4631-84A2-91A4329E17ED}"/>
            </c:ext>
          </c:extLst>
        </c:ser>
        <c:ser>
          <c:idx val="1"/>
          <c:order val="1"/>
          <c:tx>
            <c:strRef>
              <c:f>Migración!$B$95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Migración!$C$93:$L$93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Migración!$C$95:$L$95</c:f>
              <c:numCache>
                <c:formatCode>General</c:formatCode>
                <c:ptCount val="10"/>
                <c:pt idx="0">
                  <c:v>26</c:v>
                </c:pt>
                <c:pt idx="1">
                  <c:v>29</c:v>
                </c:pt>
                <c:pt idx="2">
                  <c:v>35</c:v>
                </c:pt>
                <c:pt idx="3">
                  <c:v>26</c:v>
                </c:pt>
                <c:pt idx="4">
                  <c:v>38</c:v>
                </c:pt>
                <c:pt idx="5">
                  <c:v>18</c:v>
                </c:pt>
                <c:pt idx="6">
                  <c:v>24</c:v>
                </c:pt>
                <c:pt idx="7">
                  <c:v>32</c:v>
                </c:pt>
                <c:pt idx="8">
                  <c:v>43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3-4631-84A2-91A4329E17ED}"/>
            </c:ext>
          </c:extLst>
        </c:ser>
        <c:ser>
          <c:idx val="2"/>
          <c:order val="2"/>
          <c:tx>
            <c:strRef>
              <c:f>Migración!$B$96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Migración!$C$93:$L$93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Migración!$C$96:$L$96</c:f>
              <c:numCache>
                <c:formatCode>General</c:formatCode>
                <c:ptCount val="10"/>
                <c:pt idx="0">
                  <c:v>24</c:v>
                </c:pt>
                <c:pt idx="1">
                  <c:v>27</c:v>
                </c:pt>
                <c:pt idx="2">
                  <c:v>12</c:v>
                </c:pt>
                <c:pt idx="3">
                  <c:v>20</c:v>
                </c:pt>
                <c:pt idx="4">
                  <c:v>38</c:v>
                </c:pt>
                <c:pt idx="5">
                  <c:v>47</c:v>
                </c:pt>
                <c:pt idx="6">
                  <c:v>14</c:v>
                </c:pt>
                <c:pt idx="7">
                  <c:v>43</c:v>
                </c:pt>
                <c:pt idx="8">
                  <c:v>33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03-4631-84A2-91A4329E17ED}"/>
            </c:ext>
          </c:extLst>
        </c:ser>
        <c:ser>
          <c:idx val="3"/>
          <c:order val="3"/>
          <c:tx>
            <c:strRef>
              <c:f>Migración!$B$97</c:f>
              <c:strCache>
                <c:ptCount val="1"/>
                <c:pt idx="0">
                  <c:v>Servicio Local de Educacion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Migración!$C$93:$L$93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Migración!$C$97:$L$97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207</c:v>
                </c:pt>
                <c:pt idx="6">
                  <c:v>322</c:v>
                </c:pt>
                <c:pt idx="7">
                  <c:v>276</c:v>
                </c:pt>
                <c:pt idx="8">
                  <c:v>224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03-4631-84A2-91A4329E1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458304"/>
        <c:axId val="2082271312"/>
      </c:lineChart>
      <c:catAx>
        <c:axId val="20084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71312"/>
        <c:crosses val="autoZero"/>
        <c:auto val="1"/>
        <c:lblAlgn val="ctr"/>
        <c:lblOffset val="100"/>
        <c:noMultiLvlLbl val="0"/>
      </c:catAx>
      <c:valAx>
        <c:axId val="20822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084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 de estudiantes a Puerto Varas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Migración!$B$101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Migración!$C$100:$L$100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Migración!$C$101:$L$101</c:f>
              <c:numCache>
                <c:formatCode>General</c:formatCode>
                <c:ptCount val="10"/>
                <c:pt idx="0">
                  <c:v>240</c:v>
                </c:pt>
                <c:pt idx="1">
                  <c:v>206</c:v>
                </c:pt>
                <c:pt idx="2">
                  <c:v>190</c:v>
                </c:pt>
                <c:pt idx="3">
                  <c:v>208</c:v>
                </c:pt>
                <c:pt idx="4">
                  <c:v>190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0-40FE-BD82-1909DA6C3632}"/>
            </c:ext>
          </c:extLst>
        </c:ser>
        <c:ser>
          <c:idx val="1"/>
          <c:order val="1"/>
          <c:tx>
            <c:strRef>
              <c:f>Migración!$B$102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Migración!$C$100:$L$100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Migración!$C$102:$L$102</c:f>
              <c:numCache>
                <c:formatCode>General</c:formatCode>
                <c:ptCount val="10"/>
                <c:pt idx="0">
                  <c:v>274</c:v>
                </c:pt>
                <c:pt idx="1">
                  <c:v>114</c:v>
                </c:pt>
                <c:pt idx="2">
                  <c:v>96</c:v>
                </c:pt>
                <c:pt idx="3">
                  <c:v>122</c:v>
                </c:pt>
                <c:pt idx="4">
                  <c:v>106</c:v>
                </c:pt>
                <c:pt idx="5">
                  <c:v>67</c:v>
                </c:pt>
                <c:pt idx="6">
                  <c:v>85</c:v>
                </c:pt>
                <c:pt idx="7">
                  <c:v>78</c:v>
                </c:pt>
                <c:pt idx="8">
                  <c:v>93</c:v>
                </c:pt>
                <c:pt idx="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0-40FE-BD82-1909DA6C3632}"/>
            </c:ext>
          </c:extLst>
        </c:ser>
        <c:ser>
          <c:idx val="2"/>
          <c:order val="2"/>
          <c:tx>
            <c:strRef>
              <c:f>Migración!$B$103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Migración!$C$100:$L$100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Migración!$C$103:$L$103</c:f>
              <c:numCache>
                <c:formatCode>General</c:formatCode>
                <c:ptCount val="10"/>
                <c:pt idx="0">
                  <c:v>81</c:v>
                </c:pt>
                <c:pt idx="1">
                  <c:v>36</c:v>
                </c:pt>
                <c:pt idx="2">
                  <c:v>256</c:v>
                </c:pt>
                <c:pt idx="3">
                  <c:v>81</c:v>
                </c:pt>
                <c:pt idx="4">
                  <c:v>388</c:v>
                </c:pt>
                <c:pt idx="5">
                  <c:v>182</c:v>
                </c:pt>
                <c:pt idx="6">
                  <c:v>300</c:v>
                </c:pt>
                <c:pt idx="7">
                  <c:v>124</c:v>
                </c:pt>
                <c:pt idx="8">
                  <c:v>124</c:v>
                </c:pt>
                <c:pt idx="9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60-40FE-BD82-1909DA6C3632}"/>
            </c:ext>
          </c:extLst>
        </c:ser>
        <c:ser>
          <c:idx val="3"/>
          <c:order val="3"/>
          <c:tx>
            <c:strRef>
              <c:f>Migración!$B$104</c:f>
              <c:strCache>
                <c:ptCount val="1"/>
                <c:pt idx="0">
                  <c:v>Servicio Local de Educacion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Migración!$C$100:$L$100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Migración!$C$104:$L$104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236</c:v>
                </c:pt>
                <c:pt idx="6">
                  <c:v>295</c:v>
                </c:pt>
                <c:pt idx="7">
                  <c:v>263</c:v>
                </c:pt>
                <c:pt idx="8">
                  <c:v>257</c:v>
                </c:pt>
                <c:pt idx="9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60-40FE-BD82-1909DA6C3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037088"/>
        <c:axId val="2082256432"/>
      </c:lineChart>
      <c:catAx>
        <c:axId val="11600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56432"/>
        <c:crosses val="autoZero"/>
        <c:auto val="1"/>
        <c:lblAlgn val="ctr"/>
        <c:lblOffset val="100"/>
        <c:noMultiLvlLbl val="0"/>
      </c:catAx>
      <c:valAx>
        <c:axId val="20822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003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Entrada de estudiantes</a:t>
            </a:r>
            <a:r>
              <a:rPr lang="es-CL" baseline="0"/>
              <a:t> a </a:t>
            </a:r>
            <a:r>
              <a:rPr lang="es-CL"/>
              <a:t>Osorno por tipo de 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Migración!$B$108</c:f>
              <c:strCache>
                <c:ptCount val="1"/>
                <c:pt idx="0">
                  <c:v>Municipal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Migración!$C$107:$L$107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Migración!$C$108:$L$108</c:f>
              <c:numCache>
                <c:formatCode>General</c:formatCode>
                <c:ptCount val="10"/>
                <c:pt idx="0">
                  <c:v>616</c:v>
                </c:pt>
                <c:pt idx="1">
                  <c:v>593</c:v>
                </c:pt>
                <c:pt idx="2">
                  <c:v>614</c:v>
                </c:pt>
                <c:pt idx="3">
                  <c:v>617</c:v>
                </c:pt>
                <c:pt idx="4">
                  <c:v>489</c:v>
                </c:pt>
                <c:pt idx="5">
                  <c:v>461</c:v>
                </c:pt>
                <c:pt idx="6">
                  <c:v>689</c:v>
                </c:pt>
                <c:pt idx="7">
                  <c:v>550</c:v>
                </c:pt>
                <c:pt idx="8">
                  <c:v>569</c:v>
                </c:pt>
                <c:pt idx="9">
                  <c:v>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F-458B-AE41-0DCC9082E747}"/>
            </c:ext>
          </c:extLst>
        </c:ser>
        <c:ser>
          <c:idx val="1"/>
          <c:order val="1"/>
          <c:tx>
            <c:strRef>
              <c:f>Migración!$B$109</c:f>
              <c:strCache>
                <c:ptCount val="1"/>
                <c:pt idx="0">
                  <c:v>Particular Subvencionado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Migración!$C$107:$L$107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Migración!$C$109:$L$109</c:f>
              <c:numCache>
                <c:formatCode>General</c:formatCode>
                <c:ptCount val="10"/>
                <c:pt idx="0">
                  <c:v>1002</c:v>
                </c:pt>
                <c:pt idx="1">
                  <c:v>553</c:v>
                </c:pt>
                <c:pt idx="2">
                  <c:v>539</c:v>
                </c:pt>
                <c:pt idx="3">
                  <c:v>511</c:v>
                </c:pt>
                <c:pt idx="4">
                  <c:v>501</c:v>
                </c:pt>
                <c:pt idx="5">
                  <c:v>383</c:v>
                </c:pt>
                <c:pt idx="6">
                  <c:v>464</c:v>
                </c:pt>
                <c:pt idx="7">
                  <c:v>517</c:v>
                </c:pt>
                <c:pt idx="8">
                  <c:v>532</c:v>
                </c:pt>
                <c:pt idx="9">
                  <c:v>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CF-458B-AE41-0DCC9082E747}"/>
            </c:ext>
          </c:extLst>
        </c:ser>
        <c:ser>
          <c:idx val="2"/>
          <c:order val="2"/>
          <c:tx>
            <c:strRef>
              <c:f>Migración!$B$110</c:f>
              <c:strCache>
                <c:ptCount val="1"/>
                <c:pt idx="0">
                  <c:v>Particular Pagado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Migración!$C$107:$L$107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Migración!$C$110:$L$110</c:f>
              <c:numCache>
                <c:formatCode>General</c:formatCode>
                <c:ptCount val="10"/>
                <c:pt idx="0">
                  <c:v>58</c:v>
                </c:pt>
                <c:pt idx="1">
                  <c:v>62</c:v>
                </c:pt>
                <c:pt idx="2">
                  <c:v>93</c:v>
                </c:pt>
                <c:pt idx="3">
                  <c:v>86</c:v>
                </c:pt>
                <c:pt idx="4">
                  <c:v>74</c:v>
                </c:pt>
                <c:pt idx="5">
                  <c:v>112</c:v>
                </c:pt>
                <c:pt idx="6">
                  <c:v>163</c:v>
                </c:pt>
                <c:pt idx="7">
                  <c:v>87</c:v>
                </c:pt>
                <c:pt idx="8">
                  <c:v>76</c:v>
                </c:pt>
                <c:pt idx="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F-458B-AE41-0DCC9082E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607040"/>
        <c:axId val="2082259792"/>
      </c:lineChart>
      <c:catAx>
        <c:axId val="117760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59792"/>
        <c:crosses val="autoZero"/>
        <c:auto val="1"/>
        <c:lblAlgn val="ctr"/>
        <c:lblOffset val="100"/>
        <c:noMultiLvlLbl val="0"/>
      </c:catAx>
      <c:valAx>
        <c:axId val="20822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60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Comuna</a:t>
            </a:r>
            <a:r>
              <a:rPr lang="es-CL" baseline="0"/>
              <a:t> o</a:t>
            </a:r>
            <a:r>
              <a:rPr lang="es-CL"/>
              <a:t>rigen</a:t>
            </a:r>
            <a:r>
              <a:rPr lang="es-CL" baseline="0"/>
              <a:t> de entrada estudiantes </a:t>
            </a:r>
            <a:r>
              <a:rPr lang="es-CL"/>
              <a:t>Puerto Montt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Migración!$B$117</c:f>
              <c:strCache>
                <c:ptCount val="1"/>
                <c:pt idx="0">
                  <c:v>Misma comuna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Migración!$C$116:$L$116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Migración!$C$117:$L$117</c:f>
              <c:numCache>
                <c:formatCode>General</c:formatCode>
                <c:ptCount val="10"/>
                <c:pt idx="0">
                  <c:v>788</c:v>
                </c:pt>
                <c:pt idx="1">
                  <c:v>679</c:v>
                </c:pt>
                <c:pt idx="2">
                  <c:v>877</c:v>
                </c:pt>
                <c:pt idx="3">
                  <c:v>1040</c:v>
                </c:pt>
                <c:pt idx="4">
                  <c:v>1021</c:v>
                </c:pt>
                <c:pt idx="5">
                  <c:v>848</c:v>
                </c:pt>
                <c:pt idx="6">
                  <c:v>1370</c:v>
                </c:pt>
                <c:pt idx="7">
                  <c:v>1326</c:v>
                </c:pt>
                <c:pt idx="8">
                  <c:v>1112</c:v>
                </c:pt>
                <c:pt idx="9">
                  <c:v>1174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2-41CA-9BA8-CDD65BB73C9C}"/>
            </c:ext>
          </c:extLst>
        </c:ser>
        <c:ser>
          <c:idx val="1"/>
          <c:order val="1"/>
          <c:tx>
            <c:strRef>
              <c:f>Migración!$B$118</c:f>
              <c:strCache>
                <c:ptCount val="1"/>
                <c:pt idx="0">
                  <c:v>Otra de las 3 comunas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Migración!$C$116:$L$116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Migración!$C$118:$L$118</c:f>
              <c:numCache>
                <c:formatCode>General</c:formatCode>
                <c:ptCount val="10"/>
                <c:pt idx="0">
                  <c:v>40</c:v>
                </c:pt>
                <c:pt idx="1">
                  <c:v>29</c:v>
                </c:pt>
                <c:pt idx="2">
                  <c:v>30</c:v>
                </c:pt>
                <c:pt idx="3">
                  <c:v>48</c:v>
                </c:pt>
                <c:pt idx="4">
                  <c:v>26</c:v>
                </c:pt>
                <c:pt idx="5">
                  <c:v>35</c:v>
                </c:pt>
                <c:pt idx="6">
                  <c:v>24</c:v>
                </c:pt>
                <c:pt idx="7">
                  <c:v>39</c:v>
                </c:pt>
                <c:pt idx="8">
                  <c:v>16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2-41CA-9BA8-CDD65BB73C9C}"/>
            </c:ext>
          </c:extLst>
        </c:ser>
        <c:ser>
          <c:idx val="2"/>
          <c:order val="2"/>
          <c:tx>
            <c:strRef>
              <c:f>Migración!$B$119</c:f>
              <c:strCache>
                <c:ptCount val="1"/>
                <c:pt idx="0">
                  <c:v>Fuera de las 4 comunas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Migración!$C$116:$L$116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Migración!$C$119:$L$119</c:f>
              <c:numCache>
                <c:formatCode>General</c:formatCode>
                <c:ptCount val="10"/>
                <c:pt idx="0">
                  <c:v>802</c:v>
                </c:pt>
                <c:pt idx="1">
                  <c:v>922</c:v>
                </c:pt>
                <c:pt idx="2">
                  <c:v>912</c:v>
                </c:pt>
                <c:pt idx="3">
                  <c:v>962</c:v>
                </c:pt>
                <c:pt idx="4">
                  <c:v>769</c:v>
                </c:pt>
                <c:pt idx="5">
                  <c:v>724</c:v>
                </c:pt>
                <c:pt idx="6">
                  <c:v>1203</c:v>
                </c:pt>
                <c:pt idx="7">
                  <c:v>878</c:v>
                </c:pt>
                <c:pt idx="8">
                  <c:v>871</c:v>
                </c:pt>
                <c:pt idx="9">
                  <c:v>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82-41CA-9BA8-CDD65BB73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744304"/>
        <c:axId val="2082248272"/>
      </c:lineChart>
      <c:catAx>
        <c:axId val="208974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48272"/>
        <c:crosses val="autoZero"/>
        <c:auto val="1"/>
        <c:lblAlgn val="ctr"/>
        <c:lblOffset val="100"/>
        <c:noMultiLvlLbl val="0"/>
      </c:catAx>
      <c:valAx>
        <c:axId val="208224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974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Comuna origen de entrada estudiantes Frutillar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C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Migración!$B$124</c:f>
              <c:strCache>
                <c:ptCount val="1"/>
                <c:pt idx="0">
                  <c:v>Misma comuna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Migración!$C$123:$L$123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Migración!$C$124:$L$124</c:f>
              <c:numCache>
                <c:formatCode>General</c:formatCode>
                <c:ptCount val="10"/>
                <c:pt idx="0">
                  <c:v>78</c:v>
                </c:pt>
                <c:pt idx="1">
                  <c:v>60</c:v>
                </c:pt>
                <c:pt idx="2">
                  <c:v>87</c:v>
                </c:pt>
                <c:pt idx="3">
                  <c:v>70</c:v>
                </c:pt>
                <c:pt idx="4">
                  <c:v>64</c:v>
                </c:pt>
                <c:pt idx="5">
                  <c:v>71</c:v>
                </c:pt>
                <c:pt idx="6">
                  <c:v>116</c:v>
                </c:pt>
                <c:pt idx="7">
                  <c:v>113</c:v>
                </c:pt>
                <c:pt idx="8">
                  <c:v>78</c:v>
                </c:pt>
                <c:pt idx="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9-4CF9-A073-85DB5ED1D333}"/>
            </c:ext>
          </c:extLst>
        </c:ser>
        <c:ser>
          <c:idx val="1"/>
          <c:order val="1"/>
          <c:tx>
            <c:strRef>
              <c:f>Migración!$B$125</c:f>
              <c:strCache>
                <c:ptCount val="1"/>
                <c:pt idx="0">
                  <c:v>Otra de las 3 comunas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Migración!$C$123:$L$123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Migración!$C$125:$L$125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09-4CF9-A073-85DB5ED1D333}"/>
            </c:ext>
          </c:extLst>
        </c:ser>
        <c:ser>
          <c:idx val="2"/>
          <c:order val="2"/>
          <c:tx>
            <c:strRef>
              <c:f>Migración!$B$126</c:f>
              <c:strCache>
                <c:ptCount val="1"/>
                <c:pt idx="0">
                  <c:v>Fuera de las 4 comunas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Migración!$C$123:$L$123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Migración!$C$126:$L$126</c:f>
              <c:numCache>
                <c:formatCode>General</c:formatCode>
                <c:ptCount val="10"/>
                <c:pt idx="0">
                  <c:v>150</c:v>
                </c:pt>
                <c:pt idx="1">
                  <c:v>190</c:v>
                </c:pt>
                <c:pt idx="2">
                  <c:v>174</c:v>
                </c:pt>
                <c:pt idx="3">
                  <c:v>174</c:v>
                </c:pt>
                <c:pt idx="4">
                  <c:v>199</c:v>
                </c:pt>
                <c:pt idx="5">
                  <c:v>187</c:v>
                </c:pt>
                <c:pt idx="6">
                  <c:v>227</c:v>
                </c:pt>
                <c:pt idx="7">
                  <c:v>222</c:v>
                </c:pt>
                <c:pt idx="8">
                  <c:v>207</c:v>
                </c:pt>
                <c:pt idx="9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09-4CF9-A073-85DB5ED1D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956816"/>
        <c:axId val="2082305392"/>
      </c:lineChart>
      <c:catAx>
        <c:axId val="11599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05392"/>
        <c:crosses val="autoZero"/>
        <c:auto val="1"/>
        <c:lblAlgn val="ctr"/>
        <c:lblOffset val="100"/>
        <c:noMultiLvlLbl val="0"/>
      </c:catAx>
      <c:valAx>
        <c:axId val="20823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9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Comuna origen de entrada estudiantes  </a:t>
            </a:r>
            <a:r>
              <a:rPr lang="es-CL"/>
              <a:t>Puerto Varas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Migración!$B$131</c:f>
              <c:strCache>
                <c:ptCount val="1"/>
                <c:pt idx="0">
                  <c:v>Misma comuna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Migración!$C$130:$L$130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Migración!$C$131:$L$131</c:f>
              <c:numCache>
                <c:formatCode>General</c:formatCode>
                <c:ptCount val="10"/>
                <c:pt idx="0">
                  <c:v>223</c:v>
                </c:pt>
                <c:pt idx="1">
                  <c:v>97</c:v>
                </c:pt>
                <c:pt idx="2">
                  <c:v>171</c:v>
                </c:pt>
                <c:pt idx="3">
                  <c:v>165</c:v>
                </c:pt>
                <c:pt idx="4">
                  <c:v>292</c:v>
                </c:pt>
                <c:pt idx="5">
                  <c:v>188</c:v>
                </c:pt>
                <c:pt idx="6">
                  <c:v>252</c:v>
                </c:pt>
                <c:pt idx="7">
                  <c:v>172</c:v>
                </c:pt>
                <c:pt idx="8">
                  <c:v>168</c:v>
                </c:pt>
                <c:pt idx="9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8-47A6-9078-3E95D14F3C88}"/>
            </c:ext>
          </c:extLst>
        </c:ser>
        <c:ser>
          <c:idx val="1"/>
          <c:order val="1"/>
          <c:tx>
            <c:strRef>
              <c:f>Migración!$B$132</c:f>
              <c:strCache>
                <c:ptCount val="1"/>
                <c:pt idx="0">
                  <c:v>Otra de las 3 comunas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Migración!$C$130:$L$130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Migración!$C$132:$L$132</c:f>
              <c:numCache>
                <c:formatCode>General</c:formatCode>
                <c:ptCount val="10"/>
                <c:pt idx="0">
                  <c:v>94</c:v>
                </c:pt>
                <c:pt idx="1">
                  <c:v>29</c:v>
                </c:pt>
                <c:pt idx="2">
                  <c:v>46</c:v>
                </c:pt>
                <c:pt idx="3">
                  <c:v>19</c:v>
                </c:pt>
                <c:pt idx="4">
                  <c:v>51</c:v>
                </c:pt>
                <c:pt idx="5">
                  <c:v>25</c:v>
                </c:pt>
                <c:pt idx="6">
                  <c:v>38</c:v>
                </c:pt>
                <c:pt idx="7">
                  <c:v>39</c:v>
                </c:pt>
                <c:pt idx="8">
                  <c:v>30</c:v>
                </c:pt>
                <c:pt idx="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8-47A6-9078-3E95D14F3C88}"/>
            </c:ext>
          </c:extLst>
        </c:ser>
        <c:ser>
          <c:idx val="2"/>
          <c:order val="2"/>
          <c:tx>
            <c:strRef>
              <c:f>Migración!$B$133</c:f>
              <c:strCache>
                <c:ptCount val="1"/>
                <c:pt idx="0">
                  <c:v>Fuera de las 4 comunas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Migración!$C$130:$L$130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Migración!$C$133:$L$133</c:f>
              <c:numCache>
                <c:formatCode>General</c:formatCode>
                <c:ptCount val="10"/>
                <c:pt idx="0">
                  <c:v>278</c:v>
                </c:pt>
                <c:pt idx="1">
                  <c:v>230</c:v>
                </c:pt>
                <c:pt idx="2">
                  <c:v>325</c:v>
                </c:pt>
                <c:pt idx="3">
                  <c:v>227</c:v>
                </c:pt>
                <c:pt idx="4">
                  <c:v>341</c:v>
                </c:pt>
                <c:pt idx="5">
                  <c:v>272</c:v>
                </c:pt>
                <c:pt idx="6">
                  <c:v>390</c:v>
                </c:pt>
                <c:pt idx="7">
                  <c:v>254</c:v>
                </c:pt>
                <c:pt idx="8">
                  <c:v>276</c:v>
                </c:pt>
                <c:pt idx="9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68-47A6-9078-3E95D14F3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409088"/>
        <c:axId val="2082260272"/>
      </c:lineChart>
      <c:catAx>
        <c:axId val="11594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60272"/>
        <c:crosses val="autoZero"/>
        <c:auto val="1"/>
        <c:lblAlgn val="ctr"/>
        <c:lblOffset val="100"/>
        <c:noMultiLvlLbl val="0"/>
      </c:catAx>
      <c:valAx>
        <c:axId val="20822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4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Comuna origen de entrada estudiantes Osorno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Migración!$B$138</c:f>
              <c:strCache>
                <c:ptCount val="1"/>
                <c:pt idx="0">
                  <c:v>Misma comuna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Migración!$C$137:$L$137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Migración!$C$138:$L$138</c:f>
              <c:numCache>
                <c:formatCode>General</c:formatCode>
                <c:ptCount val="10"/>
                <c:pt idx="0">
                  <c:v>389</c:v>
                </c:pt>
                <c:pt idx="1">
                  <c:v>403</c:v>
                </c:pt>
                <c:pt idx="2">
                  <c:v>469</c:v>
                </c:pt>
                <c:pt idx="3">
                  <c:v>471</c:v>
                </c:pt>
                <c:pt idx="4">
                  <c:v>409</c:v>
                </c:pt>
                <c:pt idx="5">
                  <c:v>382</c:v>
                </c:pt>
                <c:pt idx="6">
                  <c:v>506</c:v>
                </c:pt>
                <c:pt idx="7">
                  <c:v>489</c:v>
                </c:pt>
                <c:pt idx="8">
                  <c:v>437</c:v>
                </c:pt>
                <c:pt idx="9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D-456C-A6DF-E6ABD56585EE}"/>
            </c:ext>
          </c:extLst>
        </c:ser>
        <c:ser>
          <c:idx val="1"/>
          <c:order val="1"/>
          <c:tx>
            <c:strRef>
              <c:f>Migración!$B$139</c:f>
              <c:strCache>
                <c:ptCount val="1"/>
                <c:pt idx="0">
                  <c:v>Otra de las 3 comunas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Migración!$C$137:$L$137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Migración!$C$139:$L$139</c:f>
              <c:numCache>
                <c:formatCode>General</c:formatCode>
                <c:ptCount val="10"/>
                <c:pt idx="0">
                  <c:v>30</c:v>
                </c:pt>
                <c:pt idx="1">
                  <c:v>21</c:v>
                </c:pt>
                <c:pt idx="2">
                  <c:v>15</c:v>
                </c:pt>
                <c:pt idx="3">
                  <c:v>15</c:v>
                </c:pt>
                <c:pt idx="4">
                  <c:v>17</c:v>
                </c:pt>
                <c:pt idx="5">
                  <c:v>18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D-456C-A6DF-E6ABD56585EE}"/>
            </c:ext>
          </c:extLst>
        </c:ser>
        <c:ser>
          <c:idx val="2"/>
          <c:order val="2"/>
          <c:tx>
            <c:strRef>
              <c:f>Migración!$B$140</c:f>
              <c:strCache>
                <c:ptCount val="1"/>
                <c:pt idx="0">
                  <c:v>Fuera de las 4 comunas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Migración!$C$137:$L$137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Migración!$C$140:$L$140</c:f>
              <c:numCache>
                <c:formatCode>General</c:formatCode>
                <c:ptCount val="10"/>
                <c:pt idx="0">
                  <c:v>1257</c:v>
                </c:pt>
                <c:pt idx="1">
                  <c:v>784</c:v>
                </c:pt>
                <c:pt idx="2">
                  <c:v>762</c:v>
                </c:pt>
                <c:pt idx="3">
                  <c:v>728</c:v>
                </c:pt>
                <c:pt idx="4">
                  <c:v>638</c:v>
                </c:pt>
                <c:pt idx="5">
                  <c:v>556</c:v>
                </c:pt>
                <c:pt idx="6">
                  <c:v>794</c:v>
                </c:pt>
                <c:pt idx="7">
                  <c:v>651</c:v>
                </c:pt>
                <c:pt idx="8">
                  <c:v>725</c:v>
                </c:pt>
                <c:pt idx="9">
                  <c:v>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D-456C-A6DF-E6ABD5658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519520"/>
        <c:axId val="2082338512"/>
      </c:lineChart>
      <c:catAx>
        <c:axId val="11595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38512"/>
        <c:crosses val="autoZero"/>
        <c:auto val="1"/>
        <c:lblAlgn val="ctr"/>
        <c:lblOffset val="100"/>
        <c:noMultiLvlLbl val="0"/>
      </c:catAx>
      <c:valAx>
        <c:axId val="20823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5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Región de origen estudiantes entrantes a Puerto Montt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L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Migración!$P$89</c:f>
              <c:strCache>
                <c:ptCount val="1"/>
                <c:pt idx="0">
                  <c:v>Los Lagos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Migración!$Q$88:$Z$88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Migración!$Q$89:$Z$89</c:f>
              <c:numCache>
                <c:formatCode>General</c:formatCode>
                <c:ptCount val="10"/>
                <c:pt idx="0">
                  <c:v>199</c:v>
                </c:pt>
                <c:pt idx="1">
                  <c:v>207</c:v>
                </c:pt>
                <c:pt idx="2">
                  <c:v>217</c:v>
                </c:pt>
                <c:pt idx="3">
                  <c:v>217</c:v>
                </c:pt>
                <c:pt idx="4">
                  <c:v>147</c:v>
                </c:pt>
                <c:pt idx="5">
                  <c:v>128</c:v>
                </c:pt>
                <c:pt idx="6">
                  <c:v>170</c:v>
                </c:pt>
                <c:pt idx="7">
                  <c:v>141</c:v>
                </c:pt>
                <c:pt idx="8">
                  <c:v>179</c:v>
                </c:pt>
                <c:pt idx="9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F-482A-81DA-C7B64530CABD}"/>
            </c:ext>
          </c:extLst>
        </c:ser>
        <c:ser>
          <c:idx val="1"/>
          <c:order val="1"/>
          <c:tx>
            <c:strRef>
              <c:f>Migración!$P$90</c:f>
              <c:strCache>
                <c:ptCount val="1"/>
                <c:pt idx="0">
                  <c:v>Metropolitana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Migración!$Q$88:$Z$88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Migración!$Q$90:$Z$90</c:f>
              <c:numCache>
                <c:formatCode>General</c:formatCode>
                <c:ptCount val="10"/>
                <c:pt idx="0">
                  <c:v>0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67</c:v>
                </c:pt>
                <c:pt idx="7">
                  <c:v>48</c:v>
                </c:pt>
                <c:pt idx="8">
                  <c:v>35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F-482A-81DA-C7B64530CABD}"/>
            </c:ext>
          </c:extLst>
        </c:ser>
        <c:ser>
          <c:idx val="2"/>
          <c:order val="2"/>
          <c:tx>
            <c:strRef>
              <c:f>Migración!$P$91</c:f>
              <c:strCache>
                <c:ptCount val="1"/>
                <c:pt idx="0">
                  <c:v>Valparaíso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Migración!$Q$88:$Z$88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Migración!$Q$91:$Z$91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F-482A-81DA-C7B64530CABD}"/>
            </c:ext>
          </c:extLst>
        </c:ser>
        <c:ser>
          <c:idx val="3"/>
          <c:order val="3"/>
          <c:tx>
            <c:strRef>
              <c:f>Migración!$P$92</c:f>
              <c:strCache>
                <c:ptCount val="1"/>
                <c:pt idx="0">
                  <c:v>Magallanes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Migración!$Q$88:$Z$88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Migración!$Q$92:$Z$92</c:f>
              <c:numCache>
                <c:formatCode>General</c:formatCode>
                <c:ptCount val="10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33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9F-482A-81DA-C7B64530CABD}"/>
            </c:ext>
          </c:extLst>
        </c:ser>
        <c:ser>
          <c:idx val="4"/>
          <c:order val="4"/>
          <c:tx>
            <c:strRef>
              <c:f>Migración!$P$93</c:f>
              <c:strCache>
                <c:ptCount val="1"/>
                <c:pt idx="0">
                  <c:v>Los Ríos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Migración!$Q$88:$Z$88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Migración!$Q$93:$Z$93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9F-482A-81DA-C7B64530C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626528"/>
        <c:axId val="2082314992"/>
      </c:lineChart>
      <c:catAx>
        <c:axId val="117762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14992"/>
        <c:crosses val="autoZero"/>
        <c:auto val="1"/>
        <c:lblAlgn val="ctr"/>
        <c:lblOffset val="100"/>
        <c:noMultiLvlLbl val="0"/>
      </c:catAx>
      <c:valAx>
        <c:axId val="20823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62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Región de origen estudiantes entrantes a Frutillar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Migración!$P$98</c:f>
              <c:strCache>
                <c:ptCount val="1"/>
                <c:pt idx="0">
                  <c:v>Los Lagos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Migración!$Q$97:$Z$97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Migración!$Q$98:$Z$98</c:f>
              <c:numCache>
                <c:formatCode>General</c:formatCode>
                <c:ptCount val="10"/>
                <c:pt idx="0">
                  <c:v>89</c:v>
                </c:pt>
                <c:pt idx="1">
                  <c:v>99</c:v>
                </c:pt>
                <c:pt idx="2">
                  <c:v>104</c:v>
                </c:pt>
                <c:pt idx="3">
                  <c:v>80</c:v>
                </c:pt>
                <c:pt idx="4">
                  <c:v>91</c:v>
                </c:pt>
                <c:pt idx="5">
                  <c:v>59</c:v>
                </c:pt>
                <c:pt idx="6">
                  <c:v>80</c:v>
                </c:pt>
                <c:pt idx="7">
                  <c:v>79</c:v>
                </c:pt>
                <c:pt idx="8">
                  <c:v>72</c:v>
                </c:pt>
                <c:pt idx="9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CF-46FA-9A0E-C61FA3C8C939}"/>
            </c:ext>
          </c:extLst>
        </c:ser>
        <c:ser>
          <c:idx val="1"/>
          <c:order val="1"/>
          <c:tx>
            <c:strRef>
              <c:f>Migración!$P$99</c:f>
              <c:strCache>
                <c:ptCount val="1"/>
                <c:pt idx="0">
                  <c:v>Metropolitana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Migración!$Q$97:$Z$97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Migración!$Q$99:$Z$99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18</c:v>
                </c:pt>
                <c:pt idx="6">
                  <c:v>8</c:v>
                </c:pt>
                <c:pt idx="7">
                  <c:v>20</c:v>
                </c:pt>
                <c:pt idx="8">
                  <c:v>9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CF-46FA-9A0E-C61FA3C8C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491680"/>
        <c:axId val="2082313072"/>
      </c:lineChart>
      <c:catAx>
        <c:axId val="115949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13072"/>
        <c:crosses val="autoZero"/>
        <c:auto val="1"/>
        <c:lblAlgn val="ctr"/>
        <c:lblOffset val="100"/>
        <c:noMultiLvlLbl val="0"/>
      </c:catAx>
      <c:valAx>
        <c:axId val="20823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949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Región de origen estudiantes entrantes a Puerto Varas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Migración!$P$103</c:f>
              <c:strCache>
                <c:ptCount val="1"/>
                <c:pt idx="0">
                  <c:v>Los Lagos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Migración!$Q$102:$Z$102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Migración!$Q$103:$Z$103</c:f>
              <c:numCache>
                <c:formatCode>General</c:formatCode>
                <c:ptCount val="10"/>
                <c:pt idx="0">
                  <c:v>183</c:v>
                </c:pt>
                <c:pt idx="1">
                  <c:v>88</c:v>
                </c:pt>
                <c:pt idx="2">
                  <c:v>94</c:v>
                </c:pt>
                <c:pt idx="3">
                  <c:v>66</c:v>
                </c:pt>
                <c:pt idx="4">
                  <c:v>99</c:v>
                </c:pt>
                <c:pt idx="5">
                  <c:v>52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0-43E3-8DF6-6C479819FDE1}"/>
            </c:ext>
          </c:extLst>
        </c:ser>
        <c:ser>
          <c:idx val="1"/>
          <c:order val="1"/>
          <c:tx>
            <c:strRef>
              <c:f>Migración!$P$104</c:f>
              <c:strCache>
                <c:ptCount val="1"/>
                <c:pt idx="0">
                  <c:v>Metropolitana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Migración!$Q$102:$Z$102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Migración!$Q$104:$Z$104</c:f>
              <c:numCache>
                <c:formatCode>General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21</c:v>
                </c:pt>
                <c:pt idx="4">
                  <c:v>37</c:v>
                </c:pt>
                <c:pt idx="5">
                  <c:v>50</c:v>
                </c:pt>
                <c:pt idx="6">
                  <c:v>88</c:v>
                </c:pt>
                <c:pt idx="7">
                  <c:v>35</c:v>
                </c:pt>
                <c:pt idx="8">
                  <c:v>27</c:v>
                </c:pt>
                <c:pt idx="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0-43E3-8DF6-6C479819FDE1}"/>
            </c:ext>
          </c:extLst>
        </c:ser>
        <c:ser>
          <c:idx val="2"/>
          <c:order val="2"/>
          <c:tx>
            <c:strRef>
              <c:f>Migración!$P$105</c:f>
              <c:strCache>
                <c:ptCount val="1"/>
                <c:pt idx="0">
                  <c:v>Araucanía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Migración!$Q$102:$Z$102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Migración!$Q$105:$Z$105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0-43E3-8DF6-6C479819F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659472"/>
        <c:axId val="2082310672"/>
      </c:lineChart>
      <c:catAx>
        <c:axId val="117765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10672"/>
        <c:crosses val="autoZero"/>
        <c:auto val="1"/>
        <c:lblAlgn val="ctr"/>
        <c:lblOffset val="100"/>
        <c:noMultiLvlLbl val="0"/>
      </c:catAx>
      <c:valAx>
        <c:axId val="20823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65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Región de origen estudiantes entrantes a Osorno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Migración!$P$109</c:f>
              <c:strCache>
                <c:ptCount val="1"/>
                <c:pt idx="0">
                  <c:v>Los Lagos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Migración!$Q$108:$Z$108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Migración!$Q$109:$Z$109</c:f>
              <c:numCache>
                <c:formatCode>General</c:formatCode>
                <c:ptCount val="10"/>
                <c:pt idx="0">
                  <c:v>702</c:v>
                </c:pt>
                <c:pt idx="1">
                  <c:v>328</c:v>
                </c:pt>
                <c:pt idx="2">
                  <c:v>313</c:v>
                </c:pt>
                <c:pt idx="3">
                  <c:v>280</c:v>
                </c:pt>
                <c:pt idx="4">
                  <c:v>225</c:v>
                </c:pt>
                <c:pt idx="5">
                  <c:v>207</c:v>
                </c:pt>
                <c:pt idx="6">
                  <c:v>266</c:v>
                </c:pt>
                <c:pt idx="7">
                  <c:v>227</c:v>
                </c:pt>
                <c:pt idx="8">
                  <c:v>285</c:v>
                </c:pt>
                <c:pt idx="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6-426C-B657-173F4C3B9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2917760"/>
        <c:axId val="2082278992"/>
      </c:lineChart>
      <c:catAx>
        <c:axId val="20929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78992"/>
        <c:crosses val="autoZero"/>
        <c:auto val="1"/>
        <c:lblAlgn val="ctr"/>
        <c:lblOffset val="100"/>
        <c:noMultiLvlLbl val="0"/>
      </c:catAx>
      <c:valAx>
        <c:axId val="20822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291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 de estudiantes Puerto</a:t>
            </a:r>
            <a:r>
              <a:rPr lang="es-CL" baseline="0"/>
              <a:t> Montt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Migración!$A$150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Migración!$B$147:$L$147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Migración!$B$150:$L$150</c:f>
              <c:numCache>
                <c:formatCode>General</c:formatCode>
                <c:ptCount val="11"/>
                <c:pt idx="1">
                  <c:v>1630</c:v>
                </c:pt>
                <c:pt idx="2">
                  <c:v>1630</c:v>
                </c:pt>
                <c:pt idx="3">
                  <c:v>1819</c:v>
                </c:pt>
                <c:pt idx="4">
                  <c:v>2050</c:v>
                </c:pt>
                <c:pt idx="5">
                  <c:v>1816</c:v>
                </c:pt>
                <c:pt idx="6">
                  <c:v>1607</c:v>
                </c:pt>
                <c:pt idx="7">
                  <c:v>2597</c:v>
                </c:pt>
                <c:pt idx="8">
                  <c:v>2243</c:v>
                </c:pt>
                <c:pt idx="9">
                  <c:v>1999</c:v>
                </c:pt>
                <c:pt idx="10">
                  <c:v>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9-47D5-966B-AF37D61ACBF1}"/>
            </c:ext>
          </c:extLst>
        </c:ser>
        <c:ser>
          <c:idx val="4"/>
          <c:order val="4"/>
          <c:tx>
            <c:strRef>
              <c:f>Migración!$A$152</c:f>
              <c:strCache>
                <c:ptCount val="1"/>
                <c:pt idx="0">
                  <c:v>saliente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Migración!$B$147:$L$147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Migración!$B$152:$L$152</c:f>
              <c:numCache>
                <c:formatCode>General</c:formatCode>
                <c:ptCount val="11"/>
                <c:pt idx="0">
                  <c:v>2591</c:v>
                </c:pt>
                <c:pt idx="1">
                  <c:v>2377</c:v>
                </c:pt>
                <c:pt idx="2">
                  <c:v>2073</c:v>
                </c:pt>
                <c:pt idx="3">
                  <c:v>2188</c:v>
                </c:pt>
                <c:pt idx="4">
                  <c:v>1962</c:v>
                </c:pt>
                <c:pt idx="5">
                  <c:v>1466</c:v>
                </c:pt>
                <c:pt idx="6">
                  <c:v>2208</c:v>
                </c:pt>
                <c:pt idx="7">
                  <c:v>2519</c:v>
                </c:pt>
                <c:pt idx="8">
                  <c:v>2531</c:v>
                </c:pt>
                <c:pt idx="9">
                  <c:v>2252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79-47D5-966B-AF37D61AC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838368"/>
        <c:axId val="20822818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Migración!$A$148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Migración!$B$147:$L$147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Migración!$B$148:$L$148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44401</c:v>
                      </c:pt>
                      <c:pt idx="1">
                        <c:v>44734</c:v>
                      </c:pt>
                      <c:pt idx="2">
                        <c:v>45119</c:v>
                      </c:pt>
                      <c:pt idx="3">
                        <c:v>45681</c:v>
                      </c:pt>
                      <c:pt idx="4">
                        <c:v>46188</c:v>
                      </c:pt>
                      <c:pt idx="5">
                        <c:v>46654</c:v>
                      </c:pt>
                      <c:pt idx="6">
                        <c:v>47287</c:v>
                      </c:pt>
                      <c:pt idx="7">
                        <c:v>48178</c:v>
                      </c:pt>
                      <c:pt idx="8">
                        <c:v>48234</c:v>
                      </c:pt>
                      <c:pt idx="9">
                        <c:v>47645</c:v>
                      </c:pt>
                      <c:pt idx="10">
                        <c:v>47372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379-47D5-966B-AF37D61ACBF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Migración!$A$149</c15:sqref>
                        </c15:formulaRef>
                      </c:ext>
                    </c:extLst>
                    <c:strCache>
                      <c:ptCount val="1"/>
                      <c:pt idx="0">
                        <c:v>mantiene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Migración!$B$147:$L$147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Migración!$B$149:$L$149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39016</c:v>
                      </c:pt>
                      <c:pt idx="2">
                        <c:v>39570</c:v>
                      </c:pt>
                      <c:pt idx="3">
                        <c:v>40162</c:v>
                      </c:pt>
                      <c:pt idx="4">
                        <c:v>40543</c:v>
                      </c:pt>
                      <c:pt idx="5">
                        <c:v>41163</c:v>
                      </c:pt>
                      <c:pt idx="6">
                        <c:v>41913</c:v>
                      </c:pt>
                      <c:pt idx="7">
                        <c:v>41673</c:v>
                      </c:pt>
                      <c:pt idx="8">
                        <c:v>42118</c:v>
                      </c:pt>
                      <c:pt idx="9">
                        <c:v>42094</c:v>
                      </c:pt>
                      <c:pt idx="10">
                        <c:v>41913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379-47D5-966B-AF37D61ACBF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Migración!$A$151</c15:sqref>
                        </c15:formulaRef>
                      </c:ext>
                    </c:extLst>
                    <c:strCache>
                      <c:ptCount val="1"/>
                      <c:pt idx="0">
                        <c:v>ingres~o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Migración!$B$147:$L$147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Migración!$B$151:$L$151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4088</c:v>
                      </c:pt>
                      <c:pt idx="2">
                        <c:v>3919</c:v>
                      </c:pt>
                      <c:pt idx="3">
                        <c:v>3700</c:v>
                      </c:pt>
                      <c:pt idx="4">
                        <c:v>3595</c:v>
                      </c:pt>
                      <c:pt idx="5">
                        <c:v>3675</c:v>
                      </c:pt>
                      <c:pt idx="6">
                        <c:v>3767</c:v>
                      </c:pt>
                      <c:pt idx="7">
                        <c:v>3908</c:v>
                      </c:pt>
                      <c:pt idx="8">
                        <c:v>3873</c:v>
                      </c:pt>
                      <c:pt idx="9">
                        <c:v>3552</c:v>
                      </c:pt>
                      <c:pt idx="10">
                        <c:v>3484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379-47D5-966B-AF37D61ACBF1}"/>
                  </c:ext>
                </c:extLst>
              </c15:ser>
            </c15:filteredLineSeries>
          </c:ext>
        </c:extLst>
      </c:lineChart>
      <c:catAx>
        <c:axId val="208983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81872"/>
        <c:crosses val="autoZero"/>
        <c:auto val="1"/>
        <c:lblAlgn val="ctr"/>
        <c:lblOffset val="100"/>
        <c:noMultiLvlLbl val="0"/>
      </c:catAx>
      <c:valAx>
        <c:axId val="20822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983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 de</a:t>
            </a:r>
            <a:r>
              <a:rPr lang="es-CL" baseline="0"/>
              <a:t> estudiantes Frutillar por año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Migración!$A$158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Migración!$B$155:$L$155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Migración!$B$158:$L$158</c:f>
              <c:numCache>
                <c:formatCode>General</c:formatCode>
                <c:ptCount val="11"/>
                <c:pt idx="1">
                  <c:v>234</c:v>
                </c:pt>
                <c:pt idx="2">
                  <c:v>256</c:v>
                </c:pt>
                <c:pt idx="3">
                  <c:v>273</c:v>
                </c:pt>
                <c:pt idx="4">
                  <c:v>251</c:v>
                </c:pt>
                <c:pt idx="5">
                  <c:v>279</c:v>
                </c:pt>
                <c:pt idx="6">
                  <c:v>272</c:v>
                </c:pt>
                <c:pt idx="7">
                  <c:v>360</c:v>
                </c:pt>
                <c:pt idx="8">
                  <c:v>351</c:v>
                </c:pt>
                <c:pt idx="9">
                  <c:v>300</c:v>
                </c:pt>
                <c:pt idx="10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C-466C-B8A8-00E10FFE52CF}"/>
            </c:ext>
          </c:extLst>
        </c:ser>
        <c:ser>
          <c:idx val="4"/>
          <c:order val="4"/>
          <c:tx>
            <c:strRef>
              <c:f>Migración!$A$160</c:f>
              <c:strCache>
                <c:ptCount val="1"/>
                <c:pt idx="0">
                  <c:v>saliente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Migración!$B$155:$L$155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Migración!$B$160:$L$160</c:f>
              <c:numCache>
                <c:formatCode>General</c:formatCode>
                <c:ptCount val="11"/>
                <c:pt idx="0">
                  <c:v>298</c:v>
                </c:pt>
                <c:pt idx="1">
                  <c:v>273</c:v>
                </c:pt>
                <c:pt idx="2">
                  <c:v>287</c:v>
                </c:pt>
                <c:pt idx="3">
                  <c:v>283</c:v>
                </c:pt>
                <c:pt idx="4">
                  <c:v>257</c:v>
                </c:pt>
                <c:pt idx="5">
                  <c:v>186</c:v>
                </c:pt>
                <c:pt idx="6">
                  <c:v>265</c:v>
                </c:pt>
                <c:pt idx="7">
                  <c:v>317</c:v>
                </c:pt>
                <c:pt idx="8">
                  <c:v>341</c:v>
                </c:pt>
                <c:pt idx="9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1C-466C-B8A8-00E10FFE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604256"/>
        <c:axId val="2082338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Migración!$A$156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Migración!$B$155:$L$155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Migración!$B$156:$L$156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3419</c:v>
                      </c:pt>
                      <c:pt idx="1">
                        <c:v>3415</c:v>
                      </c:pt>
                      <c:pt idx="2">
                        <c:v>3462</c:v>
                      </c:pt>
                      <c:pt idx="3">
                        <c:v>3513</c:v>
                      </c:pt>
                      <c:pt idx="4">
                        <c:v>3542</c:v>
                      </c:pt>
                      <c:pt idx="5">
                        <c:v>3601</c:v>
                      </c:pt>
                      <c:pt idx="6">
                        <c:v>3722</c:v>
                      </c:pt>
                      <c:pt idx="7">
                        <c:v>3900</c:v>
                      </c:pt>
                      <c:pt idx="8">
                        <c:v>3986</c:v>
                      </c:pt>
                      <c:pt idx="9">
                        <c:v>3953</c:v>
                      </c:pt>
                      <c:pt idx="10">
                        <c:v>3934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91C-466C-B8A8-00E10FFE52C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Migración!$A$157</c15:sqref>
                        </c15:formulaRef>
                      </c:ext>
                    </c:extLst>
                    <c:strCache>
                      <c:ptCount val="1"/>
                      <c:pt idx="0">
                        <c:v>mantiene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Migración!$B$155:$L$155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Migración!$B$157:$L$157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2873</c:v>
                      </c:pt>
                      <c:pt idx="2">
                        <c:v>2895</c:v>
                      </c:pt>
                      <c:pt idx="3">
                        <c:v>2929</c:v>
                      </c:pt>
                      <c:pt idx="4">
                        <c:v>3001</c:v>
                      </c:pt>
                      <c:pt idx="5">
                        <c:v>3054</c:v>
                      </c:pt>
                      <c:pt idx="6">
                        <c:v>3155</c:v>
                      </c:pt>
                      <c:pt idx="7">
                        <c:v>3231</c:v>
                      </c:pt>
                      <c:pt idx="8">
                        <c:v>3333</c:v>
                      </c:pt>
                      <c:pt idx="9">
                        <c:v>3353</c:v>
                      </c:pt>
                      <c:pt idx="10">
                        <c:v>3371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1C-466C-B8A8-00E10FFE52C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Migración!$A$159</c15:sqref>
                        </c15:formulaRef>
                      </c:ext>
                    </c:extLst>
                    <c:strCache>
                      <c:ptCount val="1"/>
                      <c:pt idx="0">
                        <c:v>ingreso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Migración!$B$155:$L$155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Migración!$B$159:$L$159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308</c:v>
                      </c:pt>
                      <c:pt idx="2">
                        <c:v>311</c:v>
                      </c:pt>
                      <c:pt idx="3">
                        <c:v>311</c:v>
                      </c:pt>
                      <c:pt idx="4">
                        <c:v>290</c:v>
                      </c:pt>
                      <c:pt idx="5">
                        <c:v>268</c:v>
                      </c:pt>
                      <c:pt idx="6">
                        <c:v>295</c:v>
                      </c:pt>
                      <c:pt idx="7">
                        <c:v>309</c:v>
                      </c:pt>
                      <c:pt idx="8">
                        <c:v>302</c:v>
                      </c:pt>
                      <c:pt idx="9">
                        <c:v>300</c:v>
                      </c:pt>
                      <c:pt idx="10">
                        <c:v>286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91C-466C-B8A8-00E10FFE52CF}"/>
                  </c:ext>
                </c:extLst>
              </c15:ser>
            </c15:filteredLineSeries>
          </c:ext>
        </c:extLst>
      </c:lineChart>
      <c:catAx>
        <c:axId val="209560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38992"/>
        <c:crosses val="autoZero"/>
        <c:auto val="1"/>
        <c:lblAlgn val="ctr"/>
        <c:lblOffset val="100"/>
        <c:noMultiLvlLbl val="0"/>
      </c:catAx>
      <c:valAx>
        <c:axId val="208233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560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</a:t>
            </a:r>
            <a:r>
              <a:rPr lang="es-CL" baseline="0"/>
              <a:t> estudiantes Puerto  Varas por año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Migración!$A$166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Migración!$B$163:$L$163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Migración!$B$166:$L$166</c:f>
              <c:numCache>
                <c:formatCode>General</c:formatCode>
                <c:ptCount val="11"/>
                <c:pt idx="1">
                  <c:v>595</c:v>
                </c:pt>
                <c:pt idx="2">
                  <c:v>356</c:v>
                </c:pt>
                <c:pt idx="3">
                  <c:v>542</c:v>
                </c:pt>
                <c:pt idx="4">
                  <c:v>411</c:v>
                </c:pt>
                <c:pt idx="5">
                  <c:v>684</c:v>
                </c:pt>
                <c:pt idx="6">
                  <c:v>485</c:v>
                </c:pt>
                <c:pt idx="7">
                  <c:v>680</c:v>
                </c:pt>
                <c:pt idx="8">
                  <c:v>465</c:v>
                </c:pt>
                <c:pt idx="9">
                  <c:v>474</c:v>
                </c:pt>
                <c:pt idx="10">
                  <c:v>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DA-4469-A1FD-9CB1A87C5D93}"/>
            </c:ext>
          </c:extLst>
        </c:ser>
        <c:ser>
          <c:idx val="4"/>
          <c:order val="4"/>
          <c:tx>
            <c:strRef>
              <c:f>Migración!$A$168</c:f>
              <c:strCache>
                <c:ptCount val="1"/>
                <c:pt idx="0">
                  <c:v>saliente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Migración!$B$163:$L$163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Migración!$B$168:$L$168</c:f>
              <c:numCache>
                <c:formatCode>General</c:formatCode>
                <c:ptCount val="11"/>
                <c:pt idx="0">
                  <c:v>469</c:v>
                </c:pt>
                <c:pt idx="1">
                  <c:v>492</c:v>
                </c:pt>
                <c:pt idx="2">
                  <c:v>433</c:v>
                </c:pt>
                <c:pt idx="3">
                  <c:v>596</c:v>
                </c:pt>
                <c:pt idx="4">
                  <c:v>389</c:v>
                </c:pt>
                <c:pt idx="5">
                  <c:v>341</c:v>
                </c:pt>
                <c:pt idx="6">
                  <c:v>452</c:v>
                </c:pt>
                <c:pt idx="7">
                  <c:v>455</c:v>
                </c:pt>
                <c:pt idx="8">
                  <c:v>475</c:v>
                </c:pt>
                <c:pt idx="9">
                  <c:v>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DA-4469-A1FD-9CB1A87C5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538640"/>
        <c:axId val="20823145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Migración!$A$164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Migración!$B$163:$L$163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Migración!$B$164:$L$164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7720</c:v>
                      </c:pt>
                      <c:pt idx="1">
                        <c:v>8065</c:v>
                      </c:pt>
                      <c:pt idx="2">
                        <c:v>8120</c:v>
                      </c:pt>
                      <c:pt idx="3">
                        <c:v>8414</c:v>
                      </c:pt>
                      <c:pt idx="4">
                        <c:v>8330</c:v>
                      </c:pt>
                      <c:pt idx="5">
                        <c:v>8813</c:v>
                      </c:pt>
                      <c:pt idx="6">
                        <c:v>9114</c:v>
                      </c:pt>
                      <c:pt idx="7">
                        <c:v>9558</c:v>
                      </c:pt>
                      <c:pt idx="8">
                        <c:v>9827</c:v>
                      </c:pt>
                      <c:pt idx="9">
                        <c:v>9914</c:v>
                      </c:pt>
                      <c:pt idx="10">
                        <c:v>9961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EDA-4469-A1FD-9CB1A87C5D9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Migración!$A$165</c15:sqref>
                        </c15:formulaRef>
                      </c:ext>
                    </c:extLst>
                    <c:strCache>
                      <c:ptCount val="1"/>
                      <c:pt idx="0">
                        <c:v>mantiene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Migración!$B$163:$L$163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Migración!$B$165:$L$165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6811</c:v>
                      </c:pt>
                      <c:pt idx="2">
                        <c:v>7097</c:v>
                      </c:pt>
                      <c:pt idx="3">
                        <c:v>7152</c:v>
                      </c:pt>
                      <c:pt idx="4">
                        <c:v>7211</c:v>
                      </c:pt>
                      <c:pt idx="5">
                        <c:v>7425</c:v>
                      </c:pt>
                      <c:pt idx="6">
                        <c:v>7887</c:v>
                      </c:pt>
                      <c:pt idx="7">
                        <c:v>8063</c:v>
                      </c:pt>
                      <c:pt idx="8">
                        <c:v>8569</c:v>
                      </c:pt>
                      <c:pt idx="9">
                        <c:v>8724</c:v>
                      </c:pt>
                      <c:pt idx="10">
                        <c:v>8703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EDA-4469-A1FD-9CB1A87C5D9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Migración!$A$167</c15:sqref>
                        </c15:formulaRef>
                      </c:ext>
                    </c:extLst>
                    <c:strCache>
                      <c:ptCount val="1"/>
                      <c:pt idx="0">
                        <c:v>ingreso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Migración!$B$163:$L$163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Migración!$B$167:$L$167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659</c:v>
                      </c:pt>
                      <c:pt idx="2">
                        <c:v>667</c:v>
                      </c:pt>
                      <c:pt idx="3">
                        <c:v>720</c:v>
                      </c:pt>
                      <c:pt idx="4">
                        <c:v>708</c:v>
                      </c:pt>
                      <c:pt idx="5">
                        <c:v>704</c:v>
                      </c:pt>
                      <c:pt idx="6">
                        <c:v>742</c:v>
                      </c:pt>
                      <c:pt idx="7">
                        <c:v>815</c:v>
                      </c:pt>
                      <c:pt idx="8">
                        <c:v>793</c:v>
                      </c:pt>
                      <c:pt idx="9">
                        <c:v>716</c:v>
                      </c:pt>
                      <c:pt idx="10">
                        <c:v>734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EDA-4469-A1FD-9CB1A87C5D93}"/>
                  </c:ext>
                </c:extLst>
              </c15:ser>
            </c15:filteredLineSeries>
          </c:ext>
        </c:extLst>
      </c:lineChart>
      <c:catAx>
        <c:axId val="11915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314512"/>
        <c:crosses val="autoZero"/>
        <c:auto val="1"/>
        <c:lblAlgn val="ctr"/>
        <c:lblOffset val="100"/>
        <c:noMultiLvlLbl val="0"/>
      </c:catAx>
      <c:valAx>
        <c:axId val="20823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915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Flujo de estudiantes Osorno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Migración!$A$174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Migración!$B$171:$L$171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Migración!$B$174:$L$174</c:f>
              <c:numCache>
                <c:formatCode>General</c:formatCode>
                <c:ptCount val="11"/>
                <c:pt idx="1">
                  <c:v>1676</c:v>
                </c:pt>
                <c:pt idx="2">
                  <c:v>1208</c:v>
                </c:pt>
                <c:pt idx="3">
                  <c:v>1246</c:v>
                </c:pt>
                <c:pt idx="4">
                  <c:v>1214</c:v>
                </c:pt>
                <c:pt idx="5">
                  <c:v>1064</c:v>
                </c:pt>
                <c:pt idx="6">
                  <c:v>956</c:v>
                </c:pt>
                <c:pt idx="7">
                  <c:v>1316</c:v>
                </c:pt>
                <c:pt idx="8">
                  <c:v>1154</c:v>
                </c:pt>
                <c:pt idx="9">
                  <c:v>1177</c:v>
                </c:pt>
                <c:pt idx="10">
                  <c:v>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CB-45D3-9B33-502121835B2A}"/>
            </c:ext>
          </c:extLst>
        </c:ser>
        <c:ser>
          <c:idx val="4"/>
          <c:order val="4"/>
          <c:tx>
            <c:strRef>
              <c:f>Migración!$A$176</c:f>
              <c:strCache>
                <c:ptCount val="1"/>
                <c:pt idx="0">
                  <c:v>saliente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Migración!$B$171:$L$171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Migración!$B$176:$L$176</c:f>
              <c:numCache>
                <c:formatCode>General</c:formatCode>
                <c:ptCount val="11"/>
                <c:pt idx="0">
                  <c:v>1675</c:v>
                </c:pt>
                <c:pt idx="1">
                  <c:v>2053</c:v>
                </c:pt>
                <c:pt idx="2">
                  <c:v>1533</c:v>
                </c:pt>
                <c:pt idx="3">
                  <c:v>1511</c:v>
                </c:pt>
                <c:pt idx="4">
                  <c:v>1454</c:v>
                </c:pt>
                <c:pt idx="5">
                  <c:v>952</c:v>
                </c:pt>
                <c:pt idx="6">
                  <c:v>1391</c:v>
                </c:pt>
                <c:pt idx="7">
                  <c:v>1332</c:v>
                </c:pt>
                <c:pt idx="8">
                  <c:v>1361</c:v>
                </c:pt>
                <c:pt idx="9">
                  <c:v>1240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CB-45D3-9B33-502121835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259664"/>
        <c:axId val="2082280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Migración!$A$172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Migración!$B$171:$L$171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Migración!$B$172:$L$172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29073</c:v>
                      </c:pt>
                      <c:pt idx="1">
                        <c:v>29370</c:v>
                      </c:pt>
                      <c:pt idx="2">
                        <c:v>28914</c:v>
                      </c:pt>
                      <c:pt idx="3">
                        <c:v>28997</c:v>
                      </c:pt>
                      <c:pt idx="4">
                        <c:v>28998</c:v>
                      </c:pt>
                      <c:pt idx="5">
                        <c:v>28737</c:v>
                      </c:pt>
                      <c:pt idx="6">
                        <c:v>28894</c:v>
                      </c:pt>
                      <c:pt idx="7">
                        <c:v>28924</c:v>
                      </c:pt>
                      <c:pt idx="8">
                        <c:v>28483</c:v>
                      </c:pt>
                      <c:pt idx="9">
                        <c:v>28061</c:v>
                      </c:pt>
                      <c:pt idx="10">
                        <c:v>27520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2CB-45D3-9B33-502121835B2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Migración!$A$173</c15:sqref>
                        </c15:formulaRef>
                      </c:ext>
                    </c:extLst>
                    <c:strCache>
                      <c:ptCount val="1"/>
                      <c:pt idx="0">
                        <c:v>mantiene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Migración!$B$171:$L$171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Migración!$B$173:$L$173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25298</c:v>
                      </c:pt>
                      <c:pt idx="2">
                        <c:v>25252</c:v>
                      </c:pt>
                      <c:pt idx="3">
                        <c:v>25367</c:v>
                      </c:pt>
                      <c:pt idx="4">
                        <c:v>25490</c:v>
                      </c:pt>
                      <c:pt idx="5">
                        <c:v>25516</c:v>
                      </c:pt>
                      <c:pt idx="6">
                        <c:v>25794</c:v>
                      </c:pt>
                      <c:pt idx="7">
                        <c:v>25365</c:v>
                      </c:pt>
                      <c:pt idx="8">
                        <c:v>25317</c:v>
                      </c:pt>
                      <c:pt idx="9">
                        <c:v>24936</c:v>
                      </c:pt>
                      <c:pt idx="10">
                        <c:v>24508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2CB-45D3-9B33-502121835B2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Migración!$A$175</c15:sqref>
                        </c15:formulaRef>
                      </c:ext>
                    </c:extLst>
                    <c:strCache>
                      <c:ptCount val="1"/>
                      <c:pt idx="0">
                        <c:v>ingreso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Migración!$B$171:$L$171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  <c:pt idx="7">
                        <c:v>2022</c:v>
                      </c:pt>
                      <c:pt idx="8">
                        <c:v>2023</c:v>
                      </c:pt>
                      <c:pt idx="9">
                        <c:v>2024</c:v>
                      </c:pt>
                      <c:pt idx="10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Migración!$B$175:$L$175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1">
                        <c:v>2396</c:v>
                      </c:pt>
                      <c:pt idx="2">
                        <c:v>2454</c:v>
                      </c:pt>
                      <c:pt idx="3">
                        <c:v>2384</c:v>
                      </c:pt>
                      <c:pt idx="4">
                        <c:v>2294</c:v>
                      </c:pt>
                      <c:pt idx="5">
                        <c:v>2157</c:v>
                      </c:pt>
                      <c:pt idx="6">
                        <c:v>2144</c:v>
                      </c:pt>
                      <c:pt idx="7">
                        <c:v>2243</c:v>
                      </c:pt>
                      <c:pt idx="8">
                        <c:v>2012</c:v>
                      </c:pt>
                      <c:pt idx="9">
                        <c:v>1948</c:v>
                      </c:pt>
                      <c:pt idx="10">
                        <c:v>1888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2CB-45D3-9B33-502121835B2A}"/>
                  </c:ext>
                </c:extLst>
              </c15:ser>
            </c15:filteredLineSeries>
          </c:ext>
        </c:extLst>
      </c:lineChart>
      <c:catAx>
        <c:axId val="201325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82280432"/>
        <c:crosses val="autoZero"/>
        <c:auto val="1"/>
        <c:lblAlgn val="ctr"/>
        <c:lblOffset val="100"/>
        <c:noMultiLvlLbl val="0"/>
      </c:catAx>
      <c:valAx>
        <c:axId val="20822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1325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334092</xdr:colOff>
      <xdr:row>18</xdr:row>
      <xdr:rowOff>144482</xdr:rowOff>
    </xdr:from>
    <xdr:to>
      <xdr:col>14</xdr:col>
      <xdr:colOff>1186048</xdr:colOff>
      <xdr:row>35</xdr:row>
      <xdr:rowOff>122216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2DEDF5-1049-41FB-1062-37C8BE328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1425607</xdr:colOff>
      <xdr:row>18</xdr:row>
      <xdr:rowOff>147962</xdr:rowOff>
    </xdr:from>
    <xdr:to>
      <xdr:col>18</xdr:col>
      <xdr:colOff>360885</xdr:colOff>
      <xdr:row>35</xdr:row>
      <xdr:rowOff>89326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5C4C9C-9A60-61D6-514C-88FBC7FB2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243146</xdr:colOff>
      <xdr:row>19</xdr:row>
      <xdr:rowOff>19049</xdr:rowOff>
    </xdr:from>
    <xdr:to>
      <xdr:col>9</xdr:col>
      <xdr:colOff>160811</xdr:colOff>
      <xdr:row>35</xdr:row>
      <xdr:rowOff>102424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18C474-BB5F-63EA-F211-5741B64E3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526968</xdr:colOff>
      <xdr:row>18</xdr:row>
      <xdr:rowOff>53241</xdr:rowOff>
    </xdr:from>
    <xdr:to>
      <xdr:col>22</xdr:col>
      <xdr:colOff>466107</xdr:colOff>
      <xdr:row>34</xdr:row>
      <xdr:rowOff>158336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810EE4-A8A7-9091-9D0B-0BB127EA4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313646</xdr:colOff>
      <xdr:row>1</xdr:row>
      <xdr:rowOff>19050</xdr:rowOff>
    </xdr:from>
    <xdr:to>
      <xdr:col>9</xdr:col>
      <xdr:colOff>300037</xdr:colOff>
      <xdr:row>15</xdr:row>
      <xdr:rowOff>176212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5F8DA61-0DC5-1577-8A1E-3D98C545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504082</xdr:colOff>
      <xdr:row>27</xdr:row>
      <xdr:rowOff>112814</xdr:rowOff>
    </xdr:from>
    <xdr:to>
      <xdr:col>6</xdr:col>
      <xdr:colOff>504082</xdr:colOff>
      <xdr:row>41</xdr:row>
      <xdr:rowOff>189014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19FF4-BA50-C3FB-ABCD-8FF752361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55667</xdr:colOff>
      <xdr:row>27</xdr:row>
      <xdr:rowOff>83128</xdr:rowOff>
    </xdr:from>
    <xdr:to>
      <xdr:col>13</xdr:col>
      <xdr:colOff>55667</xdr:colOff>
      <xdr:row>41</xdr:row>
      <xdr:rowOff>159328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B55094-8133-1E23-AED7-DC8E831A0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247403</xdr:colOff>
      <xdr:row>27</xdr:row>
      <xdr:rowOff>31173</xdr:rowOff>
    </xdr:from>
    <xdr:to>
      <xdr:col>19</xdr:col>
      <xdr:colOff>247403</xdr:colOff>
      <xdr:row>41</xdr:row>
      <xdr:rowOff>107373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D2E713-D1B9-4F62-2347-63AEA871D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559130</xdr:colOff>
      <xdr:row>27</xdr:row>
      <xdr:rowOff>6432</xdr:rowOff>
    </xdr:from>
    <xdr:to>
      <xdr:col>25</xdr:col>
      <xdr:colOff>559130</xdr:colOff>
      <xdr:row>41</xdr:row>
      <xdr:rowOff>82632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EFF2F2-CC4A-AB3A-8608-4B8A997D6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465480</xdr:colOff>
      <xdr:row>43</xdr:row>
      <xdr:rowOff>87128</xdr:rowOff>
    </xdr:from>
    <xdr:to>
      <xdr:col>6</xdr:col>
      <xdr:colOff>465480</xdr:colOff>
      <xdr:row>57</xdr:row>
      <xdr:rowOff>163328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9457105-509F-13C5-694C-F336C9B43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713610</xdr:colOff>
      <xdr:row>43</xdr:row>
      <xdr:rowOff>15382</xdr:rowOff>
    </xdr:from>
    <xdr:to>
      <xdr:col>12</xdr:col>
      <xdr:colOff>713610</xdr:colOff>
      <xdr:row>57</xdr:row>
      <xdr:rowOff>91582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1A4097-0CBF-7F22-E84D-3809AA019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229211</xdr:colOff>
      <xdr:row>43</xdr:row>
      <xdr:rowOff>36011</xdr:rowOff>
    </xdr:from>
    <xdr:to>
      <xdr:col>19</xdr:col>
      <xdr:colOff>229211</xdr:colOff>
      <xdr:row>57</xdr:row>
      <xdr:rowOff>112211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670CFA7-08A0-5E65-9DF0-DD62D945D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480707</xdr:colOff>
      <xdr:row>43</xdr:row>
      <xdr:rowOff>357</xdr:rowOff>
    </xdr:from>
    <xdr:to>
      <xdr:col>25</xdr:col>
      <xdr:colOff>480707</xdr:colOff>
      <xdr:row>57</xdr:row>
      <xdr:rowOff>76557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50C014D-CAF7-35DC-7000-D7B44924A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449037</xdr:colOff>
      <xdr:row>2</xdr:row>
      <xdr:rowOff>0</xdr:rowOff>
    </xdr:from>
    <xdr:to>
      <xdr:col>13</xdr:col>
      <xdr:colOff>149679</xdr:colOff>
      <xdr:row>25</xdr:row>
      <xdr:rowOff>160565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1B69CFA-5132-D5D2-5831-F11FD6D95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103414</xdr:colOff>
      <xdr:row>5</xdr:row>
      <xdr:rowOff>108856</xdr:rowOff>
    </xdr:from>
    <xdr:to>
      <xdr:col>6</xdr:col>
      <xdr:colOff>103414</xdr:colOff>
      <xdr:row>19</xdr:row>
      <xdr:rowOff>185056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972758-2720-0824-66B9-742232FE5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194500</xdr:colOff>
      <xdr:row>5</xdr:row>
      <xdr:rowOff>116380</xdr:rowOff>
    </xdr:from>
    <xdr:to>
      <xdr:col>12</xdr:col>
      <xdr:colOff>194500</xdr:colOff>
      <xdr:row>20</xdr:row>
      <xdr:rowOff>2080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5E4AA9-7DA9-AADD-01FA-C31A8B4D9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305760</xdr:colOff>
      <xdr:row>5</xdr:row>
      <xdr:rowOff>129188</xdr:rowOff>
    </xdr:from>
    <xdr:to>
      <xdr:col>18</xdr:col>
      <xdr:colOff>305760</xdr:colOff>
      <xdr:row>20</xdr:row>
      <xdr:rowOff>14888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ADD944-9C70-B979-C92D-808DA90CE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476249</xdr:colOff>
      <xdr:row>5</xdr:row>
      <xdr:rowOff>115581</xdr:rowOff>
    </xdr:from>
    <xdr:to>
      <xdr:col>24</xdr:col>
      <xdr:colOff>476249</xdr:colOff>
      <xdr:row>20</xdr:row>
      <xdr:rowOff>1281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0F4B1DC-8D2F-42F1-E6B4-61A43B9D2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75040</xdr:colOff>
      <xdr:row>25</xdr:row>
      <xdr:rowOff>97570</xdr:rowOff>
    </xdr:from>
    <xdr:to>
      <xdr:col>6</xdr:col>
      <xdr:colOff>75040</xdr:colOff>
      <xdr:row>39</xdr:row>
      <xdr:rowOff>173770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563631-5467-C982-A50F-695403217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251533</xdr:colOff>
      <xdr:row>25</xdr:row>
      <xdr:rowOff>89967</xdr:rowOff>
    </xdr:from>
    <xdr:to>
      <xdr:col>12</xdr:col>
      <xdr:colOff>251533</xdr:colOff>
      <xdr:row>39</xdr:row>
      <xdr:rowOff>166167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0C05F62-09C0-EEAC-0524-1FD00190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357986</xdr:colOff>
      <xdr:row>25</xdr:row>
      <xdr:rowOff>145996</xdr:rowOff>
    </xdr:from>
    <xdr:to>
      <xdr:col>18</xdr:col>
      <xdr:colOff>357986</xdr:colOff>
      <xdr:row>40</xdr:row>
      <xdr:rowOff>31696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08BF295-62A5-60A9-BD3E-035C91316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597714</xdr:colOff>
      <xdr:row>25</xdr:row>
      <xdr:rowOff>176213</xdr:rowOff>
    </xdr:from>
    <xdr:to>
      <xdr:col>24</xdr:col>
      <xdr:colOff>597714</xdr:colOff>
      <xdr:row>40</xdr:row>
      <xdr:rowOff>40822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9EFB8B-977F-5593-BA4A-B408A9C37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40822</xdr:colOff>
      <xdr:row>43</xdr:row>
      <xdr:rowOff>70757</xdr:rowOff>
    </xdr:from>
    <xdr:to>
      <xdr:col>6</xdr:col>
      <xdr:colOff>40822</xdr:colOff>
      <xdr:row>57</xdr:row>
      <xdr:rowOff>146957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91714FD-E51E-5CF3-489D-10759E42D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136072</xdr:colOff>
      <xdr:row>43</xdr:row>
      <xdr:rowOff>70757</xdr:rowOff>
    </xdr:from>
    <xdr:to>
      <xdr:col>12</xdr:col>
      <xdr:colOff>136072</xdr:colOff>
      <xdr:row>57</xdr:row>
      <xdr:rowOff>146957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8C0F867-DC1B-2986-EEF7-40C518E2F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299357</xdr:colOff>
      <xdr:row>43</xdr:row>
      <xdr:rowOff>70758</xdr:rowOff>
    </xdr:from>
    <xdr:to>
      <xdr:col>18</xdr:col>
      <xdr:colOff>299357</xdr:colOff>
      <xdr:row>57</xdr:row>
      <xdr:rowOff>146958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BEE762A-390D-6B88-4D9D-36B04537B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544286</xdr:colOff>
      <xdr:row>43</xdr:row>
      <xdr:rowOff>57150</xdr:rowOff>
    </xdr:from>
    <xdr:to>
      <xdr:col>24</xdr:col>
      <xdr:colOff>544286</xdr:colOff>
      <xdr:row>57</xdr:row>
      <xdr:rowOff>133350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5421D23-3301-FF16-ADA8-8A22AF94E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33362</xdr:colOff>
      <xdr:row>62</xdr:row>
      <xdr:rowOff>11104</xdr:rowOff>
    </xdr:from>
    <xdr:to>
      <xdr:col>6</xdr:col>
      <xdr:colOff>142876</xdr:colOff>
      <xdr:row>76</xdr:row>
      <xdr:rowOff>87304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84F9BDB-19AE-8ED7-79F8-D7D333980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241588</xdr:colOff>
      <xdr:row>62</xdr:row>
      <xdr:rowOff>7794</xdr:rowOff>
    </xdr:from>
    <xdr:to>
      <xdr:col>12</xdr:col>
      <xdr:colOff>390526</xdr:colOff>
      <xdr:row>76</xdr:row>
      <xdr:rowOff>83994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2DE2162-3659-89CE-1460-A357055BD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463261</xdr:colOff>
      <xdr:row>62</xdr:row>
      <xdr:rowOff>12990</xdr:rowOff>
    </xdr:from>
    <xdr:to>
      <xdr:col>18</xdr:col>
      <xdr:colOff>285750</xdr:colOff>
      <xdr:row>76</xdr:row>
      <xdr:rowOff>89190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3859224-02CB-C0E2-BD39-904BDBF50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646339</xdr:colOff>
      <xdr:row>62</xdr:row>
      <xdr:rowOff>57150</xdr:rowOff>
    </xdr:from>
    <xdr:to>
      <xdr:col>24</xdr:col>
      <xdr:colOff>526676</xdr:colOff>
      <xdr:row>76</xdr:row>
      <xdr:rowOff>133350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F7C534A-ECEF-8DEE-9CF8-11A7B3F0E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1:AA98"/>
  <sheetViews>
    <sheetView zoomScale="55" zoomScaleNormal="55" workbookViewId="0">
      <selection activeCell="O11" sqref="O11"/>
    </sheetView>
  </sheetViews>
  <sheetFormatPr baseColWidth="10" defaultColWidth="23.42578125" defaultRowHeight="15" x14ac:dyDescent="0.25"/>
  <cols>
    <col min="1" max="1" width="23.140625" bestFit="1" customWidth="1"/>
    <col min="2" max="2" width="12.5703125" bestFit="1" customWidth="1"/>
    <col min="3" max="6" width="8.28515625" bestFit="1" customWidth="1"/>
    <col min="7" max="7" width="8.85546875" bestFit="1" customWidth="1"/>
    <col min="8" max="9" width="7.7109375" bestFit="1" customWidth="1"/>
    <col min="10" max="12" width="8.28515625" bestFit="1" customWidth="1"/>
    <col min="13" max="13" width="13.28515625" customWidth="1"/>
  </cols>
  <sheetData>
    <row r="41" spans="1:27" x14ac:dyDescent="0.25">
      <c r="B41" t="s">
        <v>8</v>
      </c>
    </row>
    <row r="42" spans="1:27" x14ac:dyDescent="0.25">
      <c r="B42" s="2">
        <v>2015</v>
      </c>
      <c r="C42" s="2">
        <v>2016</v>
      </c>
      <c r="D42" s="2">
        <v>2017</v>
      </c>
      <c r="E42" s="2">
        <v>2018</v>
      </c>
      <c r="F42" s="2">
        <v>2019</v>
      </c>
      <c r="G42" s="2">
        <v>2020</v>
      </c>
      <c r="H42" s="2">
        <v>2021</v>
      </c>
      <c r="I42" s="2">
        <v>2022</v>
      </c>
      <c r="J42" s="2">
        <v>2023</v>
      </c>
      <c r="K42" s="2">
        <v>2024</v>
      </c>
      <c r="L42" s="2">
        <v>2025</v>
      </c>
      <c r="O42" t="s">
        <v>10</v>
      </c>
      <c r="P42">
        <v>2015</v>
      </c>
      <c r="Q42">
        <v>2016</v>
      </c>
      <c r="R42">
        <v>2017</v>
      </c>
      <c r="S42">
        <v>2018</v>
      </c>
      <c r="T42">
        <v>2019</v>
      </c>
      <c r="U42">
        <v>2020</v>
      </c>
      <c r="V42">
        <v>2021</v>
      </c>
      <c r="W42">
        <v>2022</v>
      </c>
      <c r="X42">
        <v>2023</v>
      </c>
      <c r="Y42">
        <v>2024</v>
      </c>
      <c r="Z42">
        <v>2025</v>
      </c>
      <c r="AA42" t="s">
        <v>2</v>
      </c>
    </row>
    <row r="43" spans="1:27" x14ac:dyDescent="0.25">
      <c r="A43" s="3" t="s">
        <v>5</v>
      </c>
      <c r="B43" s="1">
        <v>3560</v>
      </c>
      <c r="C43" s="1">
        <v>3578</v>
      </c>
      <c r="D43" s="1">
        <v>3372</v>
      </c>
      <c r="E43" s="1">
        <v>3521</v>
      </c>
      <c r="F43" s="1">
        <v>3467</v>
      </c>
      <c r="G43" s="1">
        <v>3383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O43" t="s">
        <v>4</v>
      </c>
      <c r="P43">
        <v>56628</v>
      </c>
      <c r="Q43">
        <v>56504</v>
      </c>
      <c r="R43">
        <v>56513</v>
      </c>
      <c r="S43">
        <v>56797</v>
      </c>
      <c r="T43">
        <v>57632</v>
      </c>
      <c r="U43">
        <v>57792</v>
      </c>
      <c r="V43">
        <v>58318</v>
      </c>
      <c r="W43">
        <v>58870</v>
      </c>
      <c r="X43">
        <v>58602</v>
      </c>
      <c r="Y43">
        <v>57698</v>
      </c>
      <c r="Z43">
        <v>56718</v>
      </c>
      <c r="AA43">
        <v>632072</v>
      </c>
    </row>
    <row r="44" spans="1:27" x14ac:dyDescent="0.25">
      <c r="A44" s="3" t="s">
        <v>6</v>
      </c>
      <c r="B44" s="1">
        <v>3582</v>
      </c>
      <c r="C44" s="1">
        <v>3866</v>
      </c>
      <c r="D44" s="1">
        <v>4061</v>
      </c>
      <c r="E44" s="1">
        <v>3923</v>
      </c>
      <c r="F44" s="1">
        <v>4015</v>
      </c>
      <c r="G44" s="1">
        <v>4243</v>
      </c>
      <c r="H44" s="1">
        <v>4119</v>
      </c>
      <c r="I44" s="1">
        <v>4135</v>
      </c>
      <c r="J44" s="1">
        <v>4130</v>
      </c>
      <c r="K44" s="1">
        <v>4168</v>
      </c>
      <c r="L44" s="1">
        <v>4001</v>
      </c>
      <c r="O44" t="s">
        <v>0</v>
      </c>
      <c r="P44">
        <v>4138</v>
      </c>
      <c r="Q44">
        <v>4158</v>
      </c>
      <c r="R44">
        <v>4223</v>
      </c>
      <c r="S44">
        <v>4229</v>
      </c>
      <c r="T44">
        <v>4242</v>
      </c>
      <c r="U44">
        <v>4291</v>
      </c>
      <c r="V44">
        <v>4399</v>
      </c>
      <c r="W44">
        <v>4542</v>
      </c>
      <c r="X44">
        <v>4728</v>
      </c>
      <c r="Y44">
        <v>4708</v>
      </c>
      <c r="Z44">
        <v>4699</v>
      </c>
      <c r="AA44">
        <v>48357</v>
      </c>
    </row>
    <row r="45" spans="1:27" x14ac:dyDescent="0.25">
      <c r="A45" s="3" t="s">
        <v>7</v>
      </c>
      <c r="B45" s="1">
        <v>2523</v>
      </c>
      <c r="C45" s="1">
        <v>2580</v>
      </c>
      <c r="D45" s="1">
        <v>2504</v>
      </c>
      <c r="E45" s="1">
        <v>2748</v>
      </c>
      <c r="F45" s="1">
        <v>2616</v>
      </c>
      <c r="G45" s="1">
        <v>3195</v>
      </c>
      <c r="H45" s="1">
        <v>3327</v>
      </c>
      <c r="I45" s="1">
        <v>3827</v>
      </c>
      <c r="J45" s="1">
        <v>3985</v>
      </c>
      <c r="K45" s="1">
        <v>3954</v>
      </c>
      <c r="L45" s="1">
        <v>4074</v>
      </c>
      <c r="O45" t="s">
        <v>3</v>
      </c>
      <c r="P45">
        <v>9665</v>
      </c>
      <c r="Q45">
        <v>10024</v>
      </c>
      <c r="R45">
        <v>9937</v>
      </c>
      <c r="S45">
        <v>10192</v>
      </c>
      <c r="T45">
        <v>10098</v>
      </c>
      <c r="U45">
        <v>10821</v>
      </c>
      <c r="V45">
        <v>10979</v>
      </c>
      <c r="W45">
        <v>11555</v>
      </c>
      <c r="X45">
        <v>11766</v>
      </c>
      <c r="Y45">
        <v>11734</v>
      </c>
      <c r="Z45">
        <v>11715</v>
      </c>
      <c r="AA45">
        <v>118486</v>
      </c>
    </row>
    <row r="46" spans="1:27" x14ac:dyDescent="0.25">
      <c r="A46" s="3" t="s">
        <v>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>
        <v>3533</v>
      </c>
      <c r="I46">
        <v>3593</v>
      </c>
      <c r="J46">
        <v>3651</v>
      </c>
      <c r="K46">
        <v>3612</v>
      </c>
      <c r="L46">
        <v>3640</v>
      </c>
      <c r="O46" t="s">
        <v>1</v>
      </c>
      <c r="P46">
        <v>37729</v>
      </c>
      <c r="Q46">
        <v>38156</v>
      </c>
      <c r="R46">
        <v>37360</v>
      </c>
      <c r="S46">
        <v>37188</v>
      </c>
      <c r="T46">
        <v>37299</v>
      </c>
      <c r="U46">
        <v>36670</v>
      </c>
      <c r="V46">
        <v>37214</v>
      </c>
      <c r="W46">
        <v>37003</v>
      </c>
      <c r="X46">
        <v>36233</v>
      </c>
      <c r="Y46">
        <v>35555</v>
      </c>
      <c r="Z46">
        <v>34482</v>
      </c>
      <c r="AA46">
        <v>404889</v>
      </c>
    </row>
    <row r="47" spans="1:27" x14ac:dyDescent="0.25">
      <c r="O47" t="s">
        <v>2</v>
      </c>
      <c r="P47">
        <v>108160</v>
      </c>
      <c r="Q47">
        <v>108842</v>
      </c>
      <c r="R47">
        <v>108033</v>
      </c>
      <c r="S47">
        <v>108406</v>
      </c>
      <c r="T47">
        <v>109271</v>
      </c>
      <c r="U47">
        <v>109574</v>
      </c>
      <c r="V47">
        <v>110910</v>
      </c>
      <c r="W47">
        <v>111970</v>
      </c>
      <c r="X47">
        <v>111329</v>
      </c>
      <c r="Y47">
        <v>109695</v>
      </c>
      <c r="Z47">
        <v>107614</v>
      </c>
      <c r="AA47">
        <v>1203804</v>
      </c>
    </row>
    <row r="48" spans="1:27" x14ac:dyDescent="0.25">
      <c r="B48" t="s">
        <v>4</v>
      </c>
    </row>
    <row r="49" spans="1:23" x14ac:dyDescent="0.25">
      <c r="B49" s="2">
        <v>2015</v>
      </c>
      <c r="C49" s="2">
        <v>2016</v>
      </c>
      <c r="D49" s="2">
        <v>2017</v>
      </c>
      <c r="E49" s="2">
        <v>2018</v>
      </c>
      <c r="F49" s="2">
        <v>2019</v>
      </c>
      <c r="G49" s="2">
        <v>2020</v>
      </c>
      <c r="H49" s="2">
        <v>2021</v>
      </c>
      <c r="I49" s="2">
        <v>2022</v>
      </c>
      <c r="J49" s="2">
        <v>2023</v>
      </c>
      <c r="K49" s="2">
        <v>2024</v>
      </c>
      <c r="L49" s="2">
        <v>2025</v>
      </c>
    </row>
    <row r="50" spans="1:23" x14ac:dyDescent="0.25">
      <c r="A50" s="3" t="s">
        <v>5</v>
      </c>
      <c r="B50" s="1">
        <v>23080</v>
      </c>
      <c r="C50" s="1">
        <v>22480</v>
      </c>
      <c r="D50" s="1">
        <v>22042</v>
      </c>
      <c r="E50" s="1">
        <v>21870</v>
      </c>
      <c r="F50" s="1">
        <v>22006</v>
      </c>
      <c r="G50" s="1">
        <v>21689</v>
      </c>
      <c r="H50" s="1">
        <v>22074</v>
      </c>
      <c r="I50" s="1">
        <v>22025</v>
      </c>
      <c r="J50" s="1">
        <v>21251</v>
      </c>
      <c r="K50" s="1">
        <v>20375</v>
      </c>
      <c r="L50" s="1">
        <v>19651</v>
      </c>
    </row>
    <row r="51" spans="1:23" x14ac:dyDescent="0.25">
      <c r="A51" s="3" t="s">
        <v>6</v>
      </c>
      <c r="B51" s="1">
        <v>30130</v>
      </c>
      <c r="C51" s="1">
        <v>30565</v>
      </c>
      <c r="D51" s="1">
        <v>30872</v>
      </c>
      <c r="E51" s="1">
        <v>31067</v>
      </c>
      <c r="F51" s="1">
        <v>31678</v>
      </c>
      <c r="G51" s="1">
        <v>32148</v>
      </c>
      <c r="H51" s="1">
        <v>32485</v>
      </c>
      <c r="I51" s="1">
        <v>32737</v>
      </c>
      <c r="J51" s="1">
        <v>33100</v>
      </c>
      <c r="K51" s="1">
        <v>33022</v>
      </c>
      <c r="L51" s="1">
        <v>32689</v>
      </c>
    </row>
    <row r="52" spans="1:23" x14ac:dyDescent="0.25">
      <c r="A52" s="3" t="s">
        <v>7</v>
      </c>
      <c r="B52" s="1">
        <v>3418</v>
      </c>
      <c r="C52" s="1">
        <v>3459</v>
      </c>
      <c r="D52" s="1">
        <v>3599</v>
      </c>
      <c r="E52" s="1">
        <v>3860</v>
      </c>
      <c r="F52" s="1">
        <v>3948</v>
      </c>
      <c r="G52" s="1">
        <v>3955</v>
      </c>
      <c r="H52" s="1">
        <v>3759</v>
      </c>
      <c r="I52" s="1">
        <v>4108</v>
      </c>
      <c r="J52" s="1">
        <v>4250</v>
      </c>
      <c r="K52" s="1">
        <v>4300</v>
      </c>
      <c r="L52" s="1">
        <v>4378</v>
      </c>
    </row>
    <row r="53" spans="1:23" x14ac:dyDescent="0.25">
      <c r="B53" s="1">
        <f>SUM(B50:B52)</f>
        <v>56628</v>
      </c>
      <c r="C53" s="1">
        <f t="shared" ref="C53:L53" si="0">SUM(C50:C52)</f>
        <v>56504</v>
      </c>
      <c r="D53" s="1">
        <f t="shared" si="0"/>
        <v>56513</v>
      </c>
      <c r="E53" s="1">
        <f t="shared" si="0"/>
        <v>56797</v>
      </c>
      <c r="F53" s="1">
        <f t="shared" si="0"/>
        <v>57632</v>
      </c>
      <c r="G53" s="1">
        <f t="shared" si="0"/>
        <v>57792</v>
      </c>
      <c r="H53" s="1">
        <f t="shared" si="0"/>
        <v>58318</v>
      </c>
      <c r="I53" s="1">
        <f t="shared" si="0"/>
        <v>58870</v>
      </c>
      <c r="J53" s="1">
        <f t="shared" si="0"/>
        <v>58601</v>
      </c>
      <c r="K53" s="1">
        <f t="shared" si="0"/>
        <v>57697</v>
      </c>
      <c r="L53" s="1">
        <f t="shared" si="0"/>
        <v>56718</v>
      </c>
    </row>
    <row r="54" spans="1:23" x14ac:dyDescent="0.25">
      <c r="B54" t="s">
        <v>0</v>
      </c>
    </row>
    <row r="55" spans="1:23" x14ac:dyDescent="0.25">
      <c r="B55" s="2">
        <v>2015</v>
      </c>
      <c r="C55" s="2">
        <v>2016</v>
      </c>
      <c r="D55" s="2">
        <v>2017</v>
      </c>
      <c r="E55" s="2">
        <v>2018</v>
      </c>
      <c r="F55" s="2">
        <v>2019</v>
      </c>
      <c r="G55" s="2">
        <v>2020</v>
      </c>
      <c r="H55" s="2">
        <v>2021</v>
      </c>
      <c r="I55" s="2">
        <v>2022</v>
      </c>
      <c r="J55" s="2">
        <v>2023</v>
      </c>
      <c r="K55" s="2">
        <v>2024</v>
      </c>
      <c r="L55" s="2">
        <v>2025</v>
      </c>
      <c r="N55" s="1"/>
      <c r="O55" s="1"/>
      <c r="P55" s="1"/>
      <c r="Q55" s="1"/>
      <c r="R55" s="1"/>
      <c r="S55" s="1"/>
      <c r="T55" s="1"/>
      <c r="W55" s="1"/>
    </row>
    <row r="56" spans="1:23" x14ac:dyDescent="0.25">
      <c r="A56" s="3" t="s">
        <v>5</v>
      </c>
      <c r="B56" s="1">
        <v>2703</v>
      </c>
      <c r="C56" s="1">
        <v>2662</v>
      </c>
      <c r="D56" s="1">
        <v>2678</v>
      </c>
      <c r="E56" s="1">
        <v>2666</v>
      </c>
      <c r="F56" s="1">
        <v>2643</v>
      </c>
      <c r="G56" s="1">
        <v>2651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N56" s="1"/>
      <c r="O56" s="1"/>
      <c r="P56" s="1"/>
      <c r="Q56" s="1"/>
      <c r="R56" s="1"/>
      <c r="S56" s="1"/>
      <c r="T56" s="1"/>
      <c r="W56" s="1"/>
    </row>
    <row r="57" spans="1:23" x14ac:dyDescent="0.25">
      <c r="A57" s="3" t="s">
        <v>6</v>
      </c>
      <c r="B57" s="1">
        <v>1150</v>
      </c>
      <c r="C57" s="1">
        <v>1133</v>
      </c>
      <c r="D57" s="1">
        <v>1134</v>
      </c>
      <c r="E57" s="1">
        <v>1140</v>
      </c>
      <c r="F57" s="1">
        <v>1145</v>
      </c>
      <c r="G57" s="1">
        <v>1141</v>
      </c>
      <c r="H57" s="1">
        <v>1156</v>
      </c>
      <c r="I57" s="1">
        <v>1172</v>
      </c>
      <c r="J57" s="1">
        <v>1155</v>
      </c>
      <c r="K57" s="1">
        <v>1185</v>
      </c>
      <c r="L57" s="1">
        <v>1141</v>
      </c>
      <c r="M57" s="1"/>
      <c r="N57" s="1"/>
      <c r="O57" s="1"/>
      <c r="P57" s="1"/>
      <c r="Q57" s="1"/>
      <c r="R57" s="1"/>
      <c r="S57" s="1"/>
      <c r="T57" s="1"/>
      <c r="W57" s="1"/>
    </row>
    <row r="58" spans="1:23" x14ac:dyDescent="0.25">
      <c r="A58" s="3" t="s">
        <v>7</v>
      </c>
      <c r="B58" s="1">
        <v>285</v>
      </c>
      <c r="C58" s="1">
        <v>363</v>
      </c>
      <c r="D58" s="1">
        <v>411</v>
      </c>
      <c r="E58" s="1">
        <v>423</v>
      </c>
      <c r="F58" s="1">
        <v>454</v>
      </c>
      <c r="G58" s="1">
        <v>499</v>
      </c>
      <c r="H58" s="1">
        <v>537</v>
      </c>
      <c r="I58" s="1">
        <v>514</v>
      </c>
      <c r="J58" s="1">
        <v>611</v>
      </c>
      <c r="K58" s="1">
        <v>637</v>
      </c>
      <c r="L58" s="1">
        <v>674</v>
      </c>
      <c r="N58" s="1"/>
      <c r="O58" s="1"/>
      <c r="P58" s="1"/>
      <c r="Q58" s="1"/>
      <c r="R58" s="1"/>
      <c r="S58" s="1"/>
      <c r="T58" s="1"/>
      <c r="W58" s="1"/>
    </row>
    <row r="59" spans="1:23" x14ac:dyDescent="0.25">
      <c r="A59" s="3" t="s">
        <v>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>
        <v>2706</v>
      </c>
      <c r="I59">
        <v>2856</v>
      </c>
      <c r="J59">
        <v>2962</v>
      </c>
      <c r="K59">
        <v>2886</v>
      </c>
      <c r="L59">
        <v>2884</v>
      </c>
    </row>
    <row r="60" spans="1:23" x14ac:dyDescent="0.25">
      <c r="B60" s="1">
        <f>SUM(B56:B59)</f>
        <v>4138</v>
      </c>
      <c r="C60" s="1">
        <f t="shared" ref="C60:L60" si="1">SUM(C56:C59)</f>
        <v>4158</v>
      </c>
      <c r="D60" s="1">
        <f t="shared" si="1"/>
        <v>4223</v>
      </c>
      <c r="E60" s="1">
        <f t="shared" si="1"/>
        <v>4229</v>
      </c>
      <c r="F60" s="1">
        <f t="shared" si="1"/>
        <v>4242</v>
      </c>
      <c r="G60" s="1">
        <f t="shared" si="1"/>
        <v>4291</v>
      </c>
      <c r="H60" s="1">
        <f t="shared" si="1"/>
        <v>4399</v>
      </c>
      <c r="I60" s="1">
        <f t="shared" si="1"/>
        <v>4542</v>
      </c>
      <c r="J60" s="1">
        <f t="shared" si="1"/>
        <v>4728</v>
      </c>
      <c r="K60" s="1">
        <f t="shared" si="1"/>
        <v>4708</v>
      </c>
      <c r="L60" s="1">
        <f t="shared" si="1"/>
        <v>4699</v>
      </c>
    </row>
    <row r="61" spans="1:23" x14ac:dyDescent="0.25">
      <c r="B61" t="s">
        <v>1</v>
      </c>
    </row>
    <row r="62" spans="1:23" x14ac:dyDescent="0.25">
      <c r="B62" s="2">
        <v>2015</v>
      </c>
      <c r="C62" s="2">
        <v>2016</v>
      </c>
      <c r="D62" s="2">
        <v>2017</v>
      </c>
      <c r="E62" s="2">
        <v>2018</v>
      </c>
      <c r="F62" s="2">
        <v>2019</v>
      </c>
      <c r="G62" s="2">
        <v>2020</v>
      </c>
      <c r="H62" s="2">
        <v>2021</v>
      </c>
      <c r="I62" s="2">
        <v>2022</v>
      </c>
      <c r="J62" s="2">
        <v>2023</v>
      </c>
      <c r="K62" s="2">
        <v>2024</v>
      </c>
      <c r="L62" s="2">
        <v>2025</v>
      </c>
    </row>
    <row r="63" spans="1:23" x14ac:dyDescent="0.25">
      <c r="A63" s="3" t="s">
        <v>5</v>
      </c>
      <c r="B63" s="1">
        <v>13488</v>
      </c>
      <c r="C63" s="1">
        <v>12950</v>
      </c>
      <c r="D63" s="1">
        <v>13026</v>
      </c>
      <c r="E63" s="1">
        <v>12854</v>
      </c>
      <c r="F63" s="1">
        <v>12535</v>
      </c>
      <c r="G63" s="1">
        <v>12081</v>
      </c>
      <c r="H63" s="1">
        <v>12106</v>
      </c>
      <c r="I63" s="1">
        <v>12118</v>
      </c>
      <c r="J63" s="1">
        <v>11772</v>
      </c>
      <c r="K63" s="1">
        <v>11247</v>
      </c>
      <c r="L63" s="1">
        <v>10869</v>
      </c>
    </row>
    <row r="64" spans="1:23" x14ac:dyDescent="0.25">
      <c r="A64" s="3" t="s">
        <v>6</v>
      </c>
      <c r="B64" s="1">
        <v>20879</v>
      </c>
      <c r="C64" s="1">
        <v>21795</v>
      </c>
      <c r="D64" s="1">
        <v>20929</v>
      </c>
      <c r="E64" s="1">
        <v>20576</v>
      </c>
      <c r="F64" s="1">
        <v>20945</v>
      </c>
      <c r="G64" s="1">
        <v>20906</v>
      </c>
      <c r="H64" s="1">
        <v>21555</v>
      </c>
      <c r="I64" s="1">
        <v>21023</v>
      </c>
      <c r="J64" s="1">
        <v>20469</v>
      </c>
      <c r="K64" s="1">
        <v>20261</v>
      </c>
      <c r="L64" s="1">
        <v>19540</v>
      </c>
    </row>
    <row r="65" spans="1:19" x14ac:dyDescent="0.25">
      <c r="A65" s="3" t="s">
        <v>7</v>
      </c>
      <c r="B65" s="1">
        <v>3362</v>
      </c>
      <c r="C65" s="1">
        <v>3411</v>
      </c>
      <c r="D65" s="1">
        <v>3405</v>
      </c>
      <c r="E65" s="1">
        <v>3758</v>
      </c>
      <c r="F65" s="1">
        <v>3819</v>
      </c>
      <c r="G65" s="1">
        <v>3683</v>
      </c>
      <c r="H65" s="1">
        <v>3553</v>
      </c>
      <c r="I65" s="1">
        <v>3862</v>
      </c>
      <c r="J65" s="1">
        <v>3992</v>
      </c>
      <c r="K65" s="1">
        <v>4047</v>
      </c>
      <c r="L65" s="1">
        <v>4073</v>
      </c>
    </row>
    <row r="66" spans="1:19" x14ac:dyDescent="0.25">
      <c r="A66" s="3" t="s">
        <v>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8" spans="1:19" x14ac:dyDescent="0.25">
      <c r="A68" s="1"/>
    </row>
    <row r="69" spans="1:19" x14ac:dyDescent="0.25">
      <c r="A69" s="1"/>
    </row>
    <row r="70" spans="1:19" x14ac:dyDescent="0.25">
      <c r="A70" s="1"/>
    </row>
    <row r="71" spans="1:19" x14ac:dyDescent="0.25">
      <c r="A71" s="1"/>
    </row>
    <row r="72" spans="1:19" x14ac:dyDescent="0.25">
      <c r="A72" s="1"/>
    </row>
    <row r="73" spans="1:19" x14ac:dyDescent="0.25">
      <c r="A73" s="1"/>
    </row>
    <row r="74" spans="1:19" x14ac:dyDescent="0.25">
      <c r="A74" s="1"/>
    </row>
    <row r="75" spans="1:19" x14ac:dyDescent="0.25">
      <c r="A75" s="1"/>
    </row>
    <row r="76" spans="1:19" x14ac:dyDescent="0.25">
      <c r="A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/>
      <c r="G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/>
      <c r="G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/>
      <c r="G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/>
      <c r="G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25">
      <c r="A81" s="1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25">
      <c r="A82" s="1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25">
      <c r="A83" s="1"/>
      <c r="B83" s="1"/>
      <c r="C83" s="1"/>
      <c r="D83" s="1"/>
      <c r="E83" s="1"/>
      <c r="F83" s="1"/>
      <c r="G83" s="4"/>
    </row>
    <row r="84" spans="1:19" x14ac:dyDescent="0.25">
      <c r="A84" s="1"/>
      <c r="B84" s="1"/>
      <c r="C84" s="1"/>
      <c r="D84" s="1"/>
      <c r="E84" s="1"/>
      <c r="F84" s="1"/>
      <c r="G84" s="4"/>
    </row>
    <row r="85" spans="1:19" x14ac:dyDescent="0.25">
      <c r="A85" s="1"/>
      <c r="B85" s="1"/>
      <c r="C85" s="1"/>
      <c r="D85" s="1"/>
      <c r="E85" s="1"/>
      <c r="F85" s="1"/>
    </row>
    <row r="86" spans="1:19" x14ac:dyDescent="0.25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25">
      <c r="G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25">
      <c r="G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92" spans="1:19" x14ac:dyDescent="0.25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6" spans="1:19" x14ac:dyDescent="0.25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7:19" x14ac:dyDescent="0.25">
      <c r="G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7:19" x14ac:dyDescent="0.25">
      <c r="G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</sheetData>
  <mergeCells count="7">
    <mergeCell ref="G77:G78"/>
    <mergeCell ref="G79:G80"/>
    <mergeCell ref="G81:G82"/>
    <mergeCell ref="G83:G84"/>
    <mergeCell ref="G93:G94"/>
    <mergeCell ref="G97:G98"/>
    <mergeCell ref="G87:G8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7C2D-2B25-4416-B4E2-FD95126C5D97}">
  <dimension ref="A62:M124"/>
  <sheetViews>
    <sheetView zoomScale="85" zoomScaleNormal="85" workbookViewId="0">
      <selection activeCell="P9" sqref="P9"/>
    </sheetView>
  </sheetViews>
  <sheetFormatPr baseColWidth="10" defaultRowHeight="15" x14ac:dyDescent="0.25"/>
  <sheetData>
    <row r="62" spans="1:13" x14ac:dyDescent="0.25">
      <c r="A62" t="s">
        <v>4</v>
      </c>
      <c r="B62">
        <v>2015</v>
      </c>
      <c r="C62">
        <v>2016</v>
      </c>
      <c r="D62">
        <v>2017</v>
      </c>
      <c r="E62">
        <v>2018</v>
      </c>
      <c r="F62">
        <v>2019</v>
      </c>
      <c r="G62">
        <v>2020</v>
      </c>
      <c r="H62">
        <v>2021</v>
      </c>
      <c r="I62">
        <v>2022</v>
      </c>
      <c r="J62">
        <v>2023</v>
      </c>
      <c r="K62">
        <v>2024</v>
      </c>
      <c r="L62">
        <v>2025</v>
      </c>
      <c r="M62" t="s">
        <v>2</v>
      </c>
    </row>
    <row r="63" spans="1:13" x14ac:dyDescent="0.25">
      <c r="A63" t="s">
        <v>5</v>
      </c>
      <c r="B63">
        <v>75</v>
      </c>
      <c r="C63">
        <v>75</v>
      </c>
      <c r="D63">
        <v>75</v>
      </c>
      <c r="E63">
        <v>76</v>
      </c>
      <c r="F63">
        <v>76</v>
      </c>
      <c r="G63">
        <v>76</v>
      </c>
      <c r="H63">
        <v>76</v>
      </c>
      <c r="I63">
        <v>76</v>
      </c>
      <c r="J63">
        <v>76</v>
      </c>
      <c r="K63">
        <v>76</v>
      </c>
      <c r="L63">
        <v>76</v>
      </c>
      <c r="M63">
        <v>833</v>
      </c>
    </row>
    <row r="64" spans="1:13" x14ac:dyDescent="0.25">
      <c r="A64" t="s">
        <v>6</v>
      </c>
      <c r="B64">
        <v>90</v>
      </c>
      <c r="C64">
        <v>85</v>
      </c>
      <c r="D64">
        <v>83</v>
      </c>
      <c r="E64">
        <v>81</v>
      </c>
      <c r="F64">
        <v>81</v>
      </c>
      <c r="G64">
        <v>79</v>
      </c>
      <c r="H64">
        <v>79</v>
      </c>
      <c r="I64">
        <v>79</v>
      </c>
      <c r="J64">
        <v>79</v>
      </c>
      <c r="K64">
        <v>79</v>
      </c>
      <c r="L64">
        <v>80</v>
      </c>
      <c r="M64">
        <v>895</v>
      </c>
    </row>
    <row r="65" spans="1:13" x14ac:dyDescent="0.25">
      <c r="A65" t="s">
        <v>7</v>
      </c>
      <c r="B65">
        <v>8</v>
      </c>
      <c r="C65">
        <v>6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59</v>
      </c>
    </row>
    <row r="66" spans="1:13" x14ac:dyDescent="0.25">
      <c r="A66" t="s">
        <v>2</v>
      </c>
      <c r="B66">
        <v>173</v>
      </c>
      <c r="C66">
        <v>166</v>
      </c>
      <c r="D66">
        <v>163</v>
      </c>
      <c r="E66">
        <v>162</v>
      </c>
      <c r="F66">
        <v>162</v>
      </c>
      <c r="G66">
        <v>160</v>
      </c>
      <c r="H66">
        <v>160</v>
      </c>
      <c r="I66">
        <v>160</v>
      </c>
      <c r="J66">
        <v>160</v>
      </c>
      <c r="K66">
        <v>160</v>
      </c>
      <c r="L66">
        <v>161</v>
      </c>
      <c r="M66">
        <v>1.7869999999999999</v>
      </c>
    </row>
    <row r="68" spans="1:13" x14ac:dyDescent="0.25">
      <c r="A68" t="s">
        <v>0</v>
      </c>
      <c r="B68">
        <v>2015</v>
      </c>
      <c r="C68">
        <v>2016</v>
      </c>
      <c r="D68">
        <v>2017</v>
      </c>
      <c r="E68">
        <v>2018</v>
      </c>
      <c r="F68">
        <v>2019</v>
      </c>
      <c r="G68">
        <v>2020</v>
      </c>
      <c r="H68">
        <v>2021</v>
      </c>
      <c r="I68">
        <v>2022</v>
      </c>
      <c r="J68">
        <v>2023</v>
      </c>
      <c r="K68">
        <v>2024</v>
      </c>
      <c r="L68">
        <v>2025</v>
      </c>
      <c r="M68" t="s">
        <v>2</v>
      </c>
    </row>
    <row r="69" spans="1:13" x14ac:dyDescent="0.25">
      <c r="A69" t="s">
        <v>5</v>
      </c>
      <c r="B69">
        <v>13</v>
      </c>
      <c r="C69">
        <v>12</v>
      </c>
      <c r="D69">
        <v>12</v>
      </c>
      <c r="E69">
        <v>12</v>
      </c>
      <c r="F69">
        <v>12</v>
      </c>
      <c r="G69">
        <v>12</v>
      </c>
      <c r="M69">
        <v>73</v>
      </c>
    </row>
    <row r="70" spans="1:13" x14ac:dyDescent="0.25">
      <c r="A70" t="s">
        <v>6</v>
      </c>
      <c r="B70">
        <v>13</v>
      </c>
      <c r="C70">
        <v>13</v>
      </c>
      <c r="D70">
        <v>13</v>
      </c>
      <c r="E70">
        <v>13</v>
      </c>
      <c r="F70">
        <v>13</v>
      </c>
      <c r="G70">
        <v>12</v>
      </c>
      <c r="H70">
        <v>12</v>
      </c>
      <c r="I70">
        <v>12</v>
      </c>
      <c r="J70">
        <v>11</v>
      </c>
      <c r="K70">
        <v>12</v>
      </c>
      <c r="L70">
        <v>12</v>
      </c>
      <c r="M70">
        <v>136</v>
      </c>
    </row>
    <row r="71" spans="1:13" x14ac:dyDescent="0.25">
      <c r="A71" t="s">
        <v>7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22</v>
      </c>
    </row>
    <row r="72" spans="1:13" x14ac:dyDescent="0.25">
      <c r="A72" t="s">
        <v>11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60</v>
      </c>
    </row>
    <row r="73" spans="1:13" x14ac:dyDescent="0.25">
      <c r="A73" t="s">
        <v>2</v>
      </c>
      <c r="B73">
        <v>28</v>
      </c>
      <c r="C73">
        <v>27</v>
      </c>
      <c r="D73">
        <v>27</v>
      </c>
      <c r="E73">
        <v>27</v>
      </c>
      <c r="F73">
        <v>27</v>
      </c>
      <c r="G73">
        <v>26</v>
      </c>
      <c r="H73">
        <v>26</v>
      </c>
      <c r="I73">
        <v>26</v>
      </c>
      <c r="J73">
        <v>25</v>
      </c>
      <c r="K73">
        <v>26</v>
      </c>
      <c r="L73">
        <v>26</v>
      </c>
      <c r="M73">
        <v>291</v>
      </c>
    </row>
    <row r="75" spans="1:13" x14ac:dyDescent="0.25">
      <c r="A75" t="s">
        <v>3</v>
      </c>
      <c r="B75">
        <v>2015</v>
      </c>
      <c r="C75">
        <v>2016</v>
      </c>
      <c r="D75">
        <v>2017</v>
      </c>
      <c r="E75">
        <v>2018</v>
      </c>
      <c r="F75">
        <v>2019</v>
      </c>
      <c r="G75">
        <v>2020</v>
      </c>
      <c r="H75">
        <v>2021</v>
      </c>
      <c r="I75">
        <v>2022</v>
      </c>
      <c r="J75">
        <v>2023</v>
      </c>
      <c r="K75">
        <v>2024</v>
      </c>
      <c r="L75">
        <v>2025</v>
      </c>
      <c r="M75" t="s">
        <v>2</v>
      </c>
    </row>
    <row r="76" spans="1:13" x14ac:dyDescent="0.25">
      <c r="A76" t="s">
        <v>5</v>
      </c>
      <c r="B76">
        <v>20</v>
      </c>
      <c r="C76">
        <v>18</v>
      </c>
      <c r="D76">
        <v>18</v>
      </c>
      <c r="E76">
        <v>18</v>
      </c>
      <c r="F76">
        <v>18</v>
      </c>
      <c r="G76">
        <v>18</v>
      </c>
      <c r="M76">
        <v>110</v>
      </c>
    </row>
    <row r="77" spans="1:13" x14ac:dyDescent="0.25">
      <c r="A77" t="s">
        <v>6</v>
      </c>
      <c r="B77">
        <v>15</v>
      </c>
      <c r="C77">
        <v>14</v>
      </c>
      <c r="D77">
        <v>14</v>
      </c>
      <c r="E77">
        <v>14</v>
      </c>
      <c r="F77">
        <v>14</v>
      </c>
      <c r="G77">
        <v>15</v>
      </c>
      <c r="H77">
        <v>14</v>
      </c>
      <c r="I77">
        <v>14</v>
      </c>
      <c r="J77">
        <v>14</v>
      </c>
      <c r="K77">
        <v>14</v>
      </c>
      <c r="L77">
        <v>13</v>
      </c>
      <c r="M77">
        <v>155</v>
      </c>
    </row>
    <row r="78" spans="1:13" x14ac:dyDescent="0.25">
      <c r="A78" t="s">
        <v>7</v>
      </c>
      <c r="B78">
        <v>3</v>
      </c>
      <c r="C78">
        <v>3</v>
      </c>
      <c r="D78">
        <v>4</v>
      </c>
      <c r="E78">
        <v>4</v>
      </c>
      <c r="F78">
        <v>4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48</v>
      </c>
    </row>
    <row r="79" spans="1:13" x14ac:dyDescent="0.25">
      <c r="A79" t="s">
        <v>11</v>
      </c>
      <c r="H79">
        <v>18</v>
      </c>
      <c r="I79">
        <v>18</v>
      </c>
      <c r="J79">
        <v>17</v>
      </c>
      <c r="K79">
        <v>17</v>
      </c>
      <c r="L79">
        <v>17</v>
      </c>
      <c r="M79">
        <v>87</v>
      </c>
    </row>
    <row r="80" spans="1:13" x14ac:dyDescent="0.25">
      <c r="A80" t="s">
        <v>2</v>
      </c>
      <c r="B80">
        <v>38</v>
      </c>
      <c r="C80">
        <v>35</v>
      </c>
      <c r="D80">
        <v>36</v>
      </c>
      <c r="E80">
        <v>36</v>
      </c>
      <c r="F80">
        <v>36</v>
      </c>
      <c r="G80">
        <v>38</v>
      </c>
      <c r="H80">
        <v>37</v>
      </c>
      <c r="I80">
        <v>37</v>
      </c>
      <c r="J80">
        <v>36</v>
      </c>
      <c r="K80">
        <v>36</v>
      </c>
      <c r="L80">
        <v>35</v>
      </c>
      <c r="M80">
        <v>400</v>
      </c>
    </row>
    <row r="82" spans="1:13" x14ac:dyDescent="0.25">
      <c r="A82" t="s">
        <v>1</v>
      </c>
      <c r="B82">
        <v>2015</v>
      </c>
      <c r="C82">
        <v>2016</v>
      </c>
      <c r="D82">
        <v>2017</v>
      </c>
      <c r="E82">
        <v>2018</v>
      </c>
      <c r="F82">
        <v>2019</v>
      </c>
      <c r="G82">
        <v>2020</v>
      </c>
      <c r="H82">
        <v>2021</v>
      </c>
      <c r="I82">
        <v>2022</v>
      </c>
      <c r="J82">
        <v>2023</v>
      </c>
      <c r="K82">
        <v>2024</v>
      </c>
      <c r="L82">
        <v>2025</v>
      </c>
      <c r="M82" t="s">
        <v>2</v>
      </c>
    </row>
    <row r="83" spans="1:13" x14ac:dyDescent="0.25">
      <c r="A83" t="s">
        <v>5</v>
      </c>
      <c r="B83">
        <v>41</v>
      </c>
      <c r="C83">
        <v>40</v>
      </c>
      <c r="D83">
        <v>40</v>
      </c>
      <c r="E83">
        <v>40</v>
      </c>
      <c r="F83">
        <v>40</v>
      </c>
      <c r="G83">
        <v>40</v>
      </c>
      <c r="H83">
        <v>40</v>
      </c>
      <c r="I83">
        <v>40</v>
      </c>
      <c r="J83">
        <v>40</v>
      </c>
      <c r="K83">
        <v>40</v>
      </c>
      <c r="L83">
        <v>40</v>
      </c>
      <c r="M83">
        <v>441</v>
      </c>
    </row>
    <row r="84" spans="1:13" x14ac:dyDescent="0.25">
      <c r="A84" t="s">
        <v>6</v>
      </c>
      <c r="B84">
        <v>79</v>
      </c>
      <c r="C84">
        <v>77</v>
      </c>
      <c r="D84">
        <v>76</v>
      </c>
      <c r="E84">
        <v>71</v>
      </c>
      <c r="F84">
        <v>71</v>
      </c>
      <c r="G84">
        <v>70</v>
      </c>
      <c r="H84">
        <v>70</v>
      </c>
      <c r="I84">
        <v>70</v>
      </c>
      <c r="J84">
        <v>67</v>
      </c>
      <c r="K84">
        <v>67</v>
      </c>
      <c r="L84">
        <v>66</v>
      </c>
      <c r="M84">
        <v>784</v>
      </c>
    </row>
    <row r="85" spans="1:13" x14ac:dyDescent="0.25">
      <c r="A85" t="s">
        <v>7</v>
      </c>
      <c r="B85">
        <v>7</v>
      </c>
      <c r="C85">
        <v>7</v>
      </c>
      <c r="D85">
        <v>7</v>
      </c>
      <c r="E85">
        <v>8</v>
      </c>
      <c r="F85">
        <v>6</v>
      </c>
      <c r="G85">
        <v>5</v>
      </c>
      <c r="H85">
        <v>5</v>
      </c>
      <c r="I85">
        <v>6</v>
      </c>
      <c r="J85">
        <v>5</v>
      </c>
      <c r="K85">
        <v>5</v>
      </c>
      <c r="L85">
        <v>6</v>
      </c>
      <c r="M85">
        <v>67</v>
      </c>
    </row>
    <row r="86" spans="1:13" x14ac:dyDescent="0.25">
      <c r="A86" t="s">
        <v>2</v>
      </c>
      <c r="B86">
        <v>127</v>
      </c>
      <c r="C86">
        <v>124</v>
      </c>
      <c r="D86">
        <v>123</v>
      </c>
      <c r="E86">
        <v>119</v>
      </c>
      <c r="F86">
        <v>117</v>
      </c>
      <c r="G86">
        <v>115</v>
      </c>
      <c r="H86">
        <v>115</v>
      </c>
      <c r="I86">
        <v>116</v>
      </c>
      <c r="J86">
        <v>112</v>
      </c>
      <c r="K86">
        <v>112</v>
      </c>
      <c r="L86">
        <v>112</v>
      </c>
      <c r="M86">
        <v>1.292</v>
      </c>
    </row>
    <row r="94" spans="1:13" x14ac:dyDescent="0.25">
      <c r="A94" t="s">
        <v>4</v>
      </c>
      <c r="B94">
        <v>2015</v>
      </c>
      <c r="C94">
        <v>2016</v>
      </c>
      <c r="D94">
        <v>2017</v>
      </c>
      <c r="E94">
        <v>2018</v>
      </c>
      <c r="F94">
        <v>2019</v>
      </c>
      <c r="G94">
        <v>2020</v>
      </c>
      <c r="H94">
        <v>2021</v>
      </c>
      <c r="I94">
        <v>2022</v>
      </c>
      <c r="J94">
        <v>2023</v>
      </c>
      <c r="K94">
        <v>2024</v>
      </c>
      <c r="L94">
        <v>2025</v>
      </c>
      <c r="M94" t="s">
        <v>2</v>
      </c>
    </row>
    <row r="95" spans="1:13" x14ac:dyDescent="0.25">
      <c r="A95" t="s">
        <v>32</v>
      </c>
      <c r="B95">
        <v>126</v>
      </c>
      <c r="C95">
        <v>122</v>
      </c>
      <c r="D95">
        <v>119</v>
      </c>
      <c r="E95">
        <v>118</v>
      </c>
      <c r="F95">
        <v>118</v>
      </c>
      <c r="G95">
        <v>116</v>
      </c>
      <c r="H95">
        <v>117</v>
      </c>
      <c r="I95">
        <v>117</v>
      </c>
      <c r="J95">
        <v>117</v>
      </c>
      <c r="K95">
        <v>117</v>
      </c>
      <c r="L95">
        <v>117</v>
      </c>
      <c r="M95">
        <v>1.304</v>
      </c>
    </row>
    <row r="96" spans="1:13" x14ac:dyDescent="0.25">
      <c r="A96" t="s">
        <v>33</v>
      </c>
      <c r="B96">
        <v>47</v>
      </c>
      <c r="C96">
        <v>44</v>
      </c>
      <c r="D96">
        <v>44</v>
      </c>
      <c r="E96">
        <v>44</v>
      </c>
      <c r="F96">
        <v>44</v>
      </c>
      <c r="G96">
        <v>44</v>
      </c>
      <c r="H96">
        <v>43</v>
      </c>
      <c r="I96">
        <v>43</v>
      </c>
      <c r="J96">
        <v>43</v>
      </c>
      <c r="K96">
        <v>43</v>
      </c>
      <c r="L96">
        <v>44</v>
      </c>
      <c r="M96">
        <v>483</v>
      </c>
    </row>
    <row r="97" spans="1:13" x14ac:dyDescent="0.25">
      <c r="A97" t="s">
        <v>2</v>
      </c>
      <c r="B97">
        <v>173</v>
      </c>
      <c r="C97">
        <v>166</v>
      </c>
      <c r="D97">
        <v>163</v>
      </c>
      <c r="E97">
        <v>162</v>
      </c>
      <c r="F97">
        <v>162</v>
      </c>
      <c r="G97">
        <v>160</v>
      </c>
      <c r="H97">
        <v>160</v>
      </c>
      <c r="I97">
        <v>160</v>
      </c>
      <c r="J97">
        <v>160</v>
      </c>
      <c r="K97">
        <v>160</v>
      </c>
      <c r="L97">
        <v>161</v>
      </c>
      <c r="M97">
        <v>1.7869999999999999</v>
      </c>
    </row>
    <row r="99" spans="1:13" x14ac:dyDescent="0.25">
      <c r="A99" t="s">
        <v>0</v>
      </c>
      <c r="B99">
        <v>2015</v>
      </c>
      <c r="C99">
        <v>2016</v>
      </c>
      <c r="D99">
        <v>2017</v>
      </c>
      <c r="E99">
        <v>2018</v>
      </c>
      <c r="F99">
        <v>2019</v>
      </c>
      <c r="G99">
        <v>2020</v>
      </c>
      <c r="H99">
        <v>2021</v>
      </c>
      <c r="I99">
        <v>2022</v>
      </c>
      <c r="J99">
        <v>2023</v>
      </c>
      <c r="K99">
        <v>2024</v>
      </c>
      <c r="L99">
        <v>2025</v>
      </c>
      <c r="M99" t="s">
        <v>2</v>
      </c>
    </row>
    <row r="100" spans="1:13" x14ac:dyDescent="0.25">
      <c r="A100" t="s">
        <v>32</v>
      </c>
      <c r="B100">
        <v>13</v>
      </c>
      <c r="C100">
        <v>13</v>
      </c>
      <c r="D100">
        <v>13</v>
      </c>
      <c r="E100">
        <v>13</v>
      </c>
      <c r="F100">
        <v>13</v>
      </c>
      <c r="G100">
        <v>13</v>
      </c>
      <c r="H100">
        <v>13</v>
      </c>
      <c r="I100">
        <v>13</v>
      </c>
      <c r="J100">
        <v>13</v>
      </c>
      <c r="K100">
        <v>13</v>
      </c>
      <c r="L100">
        <v>13</v>
      </c>
      <c r="M100">
        <v>143</v>
      </c>
    </row>
    <row r="101" spans="1:13" x14ac:dyDescent="0.25">
      <c r="A101" t="s">
        <v>33</v>
      </c>
      <c r="B101">
        <v>15</v>
      </c>
      <c r="C101">
        <v>14</v>
      </c>
      <c r="D101">
        <v>14</v>
      </c>
      <c r="E101">
        <v>14</v>
      </c>
      <c r="F101">
        <v>14</v>
      </c>
      <c r="G101">
        <v>13</v>
      </c>
      <c r="H101">
        <v>13</v>
      </c>
      <c r="I101">
        <v>13</v>
      </c>
      <c r="J101">
        <v>12</v>
      </c>
      <c r="K101">
        <v>13</v>
      </c>
      <c r="L101">
        <v>13</v>
      </c>
      <c r="M101">
        <v>148</v>
      </c>
    </row>
    <row r="102" spans="1:13" x14ac:dyDescent="0.25">
      <c r="A102" t="s">
        <v>2</v>
      </c>
      <c r="B102">
        <v>28</v>
      </c>
      <c r="C102">
        <v>27</v>
      </c>
      <c r="D102">
        <v>27</v>
      </c>
      <c r="E102">
        <v>27</v>
      </c>
      <c r="F102">
        <v>27</v>
      </c>
      <c r="G102">
        <v>26</v>
      </c>
      <c r="H102">
        <v>26</v>
      </c>
      <c r="I102">
        <v>26</v>
      </c>
      <c r="J102">
        <v>25</v>
      </c>
      <c r="K102">
        <v>26</v>
      </c>
      <c r="L102">
        <v>26</v>
      </c>
      <c r="M102">
        <v>291</v>
      </c>
    </row>
    <row r="104" spans="1:13" x14ac:dyDescent="0.25">
      <c r="A104" t="s">
        <v>3</v>
      </c>
      <c r="B104">
        <v>2015</v>
      </c>
      <c r="C104">
        <v>2016</v>
      </c>
      <c r="D104">
        <v>2017</v>
      </c>
      <c r="E104">
        <v>2018</v>
      </c>
      <c r="F104">
        <v>2019</v>
      </c>
      <c r="G104">
        <v>2020</v>
      </c>
      <c r="H104">
        <v>2021</v>
      </c>
      <c r="I104">
        <v>2022</v>
      </c>
      <c r="J104">
        <v>2023</v>
      </c>
      <c r="K104">
        <v>2024</v>
      </c>
      <c r="L104">
        <v>2025</v>
      </c>
      <c r="M104" t="s">
        <v>2</v>
      </c>
    </row>
    <row r="105" spans="1:13" x14ac:dyDescent="0.25">
      <c r="A105" t="s">
        <v>32</v>
      </c>
      <c r="B105">
        <v>18</v>
      </c>
      <c r="C105">
        <v>18</v>
      </c>
      <c r="D105">
        <v>19</v>
      </c>
      <c r="E105">
        <v>19</v>
      </c>
      <c r="F105">
        <v>19</v>
      </c>
      <c r="G105">
        <v>20</v>
      </c>
      <c r="H105">
        <v>19</v>
      </c>
      <c r="I105">
        <v>19</v>
      </c>
      <c r="J105">
        <v>20</v>
      </c>
      <c r="K105">
        <v>20</v>
      </c>
      <c r="L105">
        <v>20</v>
      </c>
      <c r="M105">
        <v>211</v>
      </c>
    </row>
    <row r="106" spans="1:13" x14ac:dyDescent="0.25">
      <c r="A106" t="s">
        <v>33</v>
      </c>
      <c r="B106">
        <v>20</v>
      </c>
      <c r="C106">
        <v>17</v>
      </c>
      <c r="D106">
        <v>17</v>
      </c>
      <c r="E106">
        <v>17</v>
      </c>
      <c r="F106">
        <v>17</v>
      </c>
      <c r="G106">
        <v>18</v>
      </c>
      <c r="H106">
        <v>18</v>
      </c>
      <c r="I106">
        <v>18</v>
      </c>
      <c r="J106">
        <v>16</v>
      </c>
      <c r="K106">
        <v>16</v>
      </c>
      <c r="L106">
        <v>15</v>
      </c>
      <c r="M106">
        <v>189</v>
      </c>
    </row>
    <row r="107" spans="1:13" x14ac:dyDescent="0.25">
      <c r="A107" t="s">
        <v>2</v>
      </c>
      <c r="B107">
        <v>38</v>
      </c>
      <c r="C107">
        <v>35</v>
      </c>
      <c r="D107">
        <v>36</v>
      </c>
      <c r="E107">
        <v>36</v>
      </c>
      <c r="F107">
        <v>36</v>
      </c>
      <c r="G107">
        <v>38</v>
      </c>
      <c r="H107">
        <v>37</v>
      </c>
      <c r="I107">
        <v>37</v>
      </c>
      <c r="J107">
        <v>36</v>
      </c>
      <c r="K107">
        <v>36</v>
      </c>
      <c r="L107">
        <v>35</v>
      </c>
      <c r="M107">
        <v>400</v>
      </c>
    </row>
    <row r="109" spans="1:13" x14ac:dyDescent="0.25">
      <c r="A109" t="s">
        <v>1</v>
      </c>
      <c r="B109">
        <v>2015</v>
      </c>
      <c r="C109">
        <v>2016</v>
      </c>
      <c r="D109">
        <v>2017</v>
      </c>
      <c r="E109">
        <v>2018</v>
      </c>
      <c r="F109">
        <v>2019</v>
      </c>
      <c r="G109">
        <v>2020</v>
      </c>
      <c r="H109">
        <v>2021</v>
      </c>
      <c r="I109">
        <v>2022</v>
      </c>
      <c r="J109">
        <v>2023</v>
      </c>
      <c r="K109">
        <v>2024</v>
      </c>
      <c r="L109">
        <v>2025</v>
      </c>
      <c r="M109" t="s">
        <v>2</v>
      </c>
    </row>
    <row r="110" spans="1:13" x14ac:dyDescent="0.25">
      <c r="A110" t="s">
        <v>32</v>
      </c>
      <c r="B110">
        <v>107</v>
      </c>
      <c r="C110">
        <v>104</v>
      </c>
      <c r="D110">
        <v>103</v>
      </c>
      <c r="E110">
        <v>100</v>
      </c>
      <c r="F110">
        <v>98</v>
      </c>
      <c r="G110">
        <v>96</v>
      </c>
      <c r="H110">
        <v>95</v>
      </c>
      <c r="I110">
        <v>95</v>
      </c>
      <c r="J110">
        <v>91</v>
      </c>
      <c r="K110">
        <v>91</v>
      </c>
      <c r="L110">
        <v>91</v>
      </c>
      <c r="M110">
        <v>1.071</v>
      </c>
    </row>
    <row r="111" spans="1:13" x14ac:dyDescent="0.25">
      <c r="A111" t="s">
        <v>33</v>
      </c>
      <c r="B111">
        <v>20</v>
      </c>
      <c r="C111">
        <v>20</v>
      </c>
      <c r="D111">
        <v>20</v>
      </c>
      <c r="E111">
        <v>19</v>
      </c>
      <c r="F111">
        <v>19</v>
      </c>
      <c r="G111">
        <v>19</v>
      </c>
      <c r="H111">
        <v>20</v>
      </c>
      <c r="I111">
        <v>21</v>
      </c>
      <c r="J111">
        <v>21</v>
      </c>
      <c r="K111">
        <v>21</v>
      </c>
      <c r="L111">
        <v>21</v>
      </c>
      <c r="M111">
        <v>221</v>
      </c>
    </row>
    <row r="112" spans="1:13" x14ac:dyDescent="0.25">
      <c r="A112" t="s">
        <v>2</v>
      </c>
      <c r="B112">
        <v>127</v>
      </c>
      <c r="C112">
        <v>124</v>
      </c>
      <c r="D112">
        <v>123</v>
      </c>
      <c r="E112">
        <v>119</v>
      </c>
      <c r="F112">
        <v>117</v>
      </c>
      <c r="G112">
        <v>115</v>
      </c>
      <c r="H112">
        <v>115</v>
      </c>
      <c r="I112">
        <v>116</v>
      </c>
      <c r="J112">
        <v>112</v>
      </c>
      <c r="K112">
        <v>112</v>
      </c>
      <c r="L112">
        <v>112</v>
      </c>
      <c r="M112">
        <v>1.292</v>
      </c>
    </row>
    <row r="114" spans="1:13" ht="13.5" customHeight="1" x14ac:dyDescent="0.25">
      <c r="A114" t="s">
        <v>2</v>
      </c>
      <c r="B114">
        <v>2015</v>
      </c>
      <c r="C114">
        <v>2016</v>
      </c>
      <c r="D114">
        <v>2017</v>
      </c>
      <c r="E114">
        <v>2018</v>
      </c>
      <c r="F114">
        <v>2019</v>
      </c>
      <c r="G114">
        <v>2020</v>
      </c>
      <c r="H114">
        <v>2021</v>
      </c>
      <c r="I114">
        <v>2022</v>
      </c>
      <c r="J114">
        <v>2023</v>
      </c>
      <c r="K114">
        <v>2024</v>
      </c>
      <c r="L114">
        <v>2025</v>
      </c>
      <c r="M114" t="s">
        <v>2</v>
      </c>
    </row>
    <row r="115" spans="1:13" x14ac:dyDescent="0.25">
      <c r="A115" t="s">
        <v>32</v>
      </c>
      <c r="B115">
        <v>264</v>
      </c>
      <c r="C115">
        <v>257</v>
      </c>
      <c r="D115">
        <v>254</v>
      </c>
      <c r="E115">
        <v>250</v>
      </c>
      <c r="F115">
        <v>248</v>
      </c>
      <c r="G115">
        <v>245</v>
      </c>
      <c r="H115">
        <v>244</v>
      </c>
      <c r="I115">
        <v>244</v>
      </c>
      <c r="J115">
        <v>241</v>
      </c>
      <c r="K115">
        <v>241</v>
      </c>
      <c r="L115">
        <v>241</v>
      </c>
      <c r="M115">
        <v>2.7290000000000001</v>
      </c>
    </row>
    <row r="116" spans="1:13" x14ac:dyDescent="0.25">
      <c r="A116" t="s">
        <v>33</v>
      </c>
      <c r="B116">
        <v>102</v>
      </c>
      <c r="C116">
        <v>95</v>
      </c>
      <c r="D116">
        <v>95</v>
      </c>
      <c r="E116">
        <v>94</v>
      </c>
      <c r="F116">
        <v>94</v>
      </c>
      <c r="G116">
        <v>94</v>
      </c>
      <c r="H116">
        <v>94</v>
      </c>
      <c r="I116">
        <v>95</v>
      </c>
      <c r="J116">
        <v>92</v>
      </c>
      <c r="K116">
        <v>93</v>
      </c>
      <c r="L116">
        <v>93</v>
      </c>
      <c r="M116">
        <v>1.0409999999999999</v>
      </c>
    </row>
    <row r="117" spans="1:13" x14ac:dyDescent="0.25">
      <c r="A117" t="s">
        <v>2</v>
      </c>
      <c r="B117">
        <v>366</v>
      </c>
      <c r="C117">
        <v>352</v>
      </c>
      <c r="D117">
        <v>349</v>
      </c>
      <c r="E117">
        <v>344</v>
      </c>
      <c r="F117">
        <v>342</v>
      </c>
      <c r="G117">
        <v>339</v>
      </c>
      <c r="H117">
        <v>338</v>
      </c>
      <c r="I117">
        <v>339</v>
      </c>
      <c r="J117">
        <v>333</v>
      </c>
      <c r="K117">
        <v>334</v>
      </c>
      <c r="L117">
        <v>334</v>
      </c>
      <c r="M117">
        <v>3.77</v>
      </c>
    </row>
    <row r="120" spans="1:13" x14ac:dyDescent="0.25">
      <c r="B120">
        <v>2015</v>
      </c>
      <c r="C120">
        <v>2016</v>
      </c>
      <c r="D120">
        <v>2017</v>
      </c>
      <c r="E120">
        <v>2018</v>
      </c>
      <c r="F120">
        <v>2019</v>
      </c>
      <c r="G120">
        <v>2020</v>
      </c>
      <c r="H120">
        <v>2021</v>
      </c>
      <c r="I120">
        <v>2022</v>
      </c>
      <c r="J120">
        <v>2023</v>
      </c>
      <c r="K120">
        <v>2024</v>
      </c>
      <c r="L120">
        <v>2025</v>
      </c>
    </row>
    <row r="121" spans="1:13" x14ac:dyDescent="0.25">
      <c r="A121" t="s">
        <v>4</v>
      </c>
      <c r="B121">
        <v>173</v>
      </c>
      <c r="C121">
        <v>166</v>
      </c>
      <c r="D121">
        <v>163</v>
      </c>
      <c r="E121">
        <v>162</v>
      </c>
      <c r="F121">
        <v>162</v>
      </c>
      <c r="G121">
        <v>160</v>
      </c>
      <c r="H121">
        <v>160</v>
      </c>
      <c r="I121">
        <v>160</v>
      </c>
      <c r="J121">
        <v>160</v>
      </c>
      <c r="K121">
        <v>160</v>
      </c>
      <c r="L121">
        <v>161</v>
      </c>
    </row>
    <row r="122" spans="1:13" x14ac:dyDescent="0.25">
      <c r="A122" t="s">
        <v>0</v>
      </c>
      <c r="B122">
        <v>28</v>
      </c>
      <c r="C122">
        <v>27</v>
      </c>
      <c r="D122">
        <v>27</v>
      </c>
      <c r="E122">
        <v>27</v>
      </c>
      <c r="F122">
        <v>27</v>
      </c>
      <c r="G122">
        <v>26</v>
      </c>
      <c r="H122">
        <v>26</v>
      </c>
      <c r="I122">
        <v>26</v>
      </c>
      <c r="J122">
        <v>25</v>
      </c>
      <c r="K122">
        <v>26</v>
      </c>
      <c r="L122">
        <v>26</v>
      </c>
    </row>
    <row r="123" spans="1:13" x14ac:dyDescent="0.25">
      <c r="A123" t="s">
        <v>3</v>
      </c>
      <c r="B123">
        <v>38</v>
      </c>
      <c r="C123">
        <v>35</v>
      </c>
      <c r="D123">
        <v>36</v>
      </c>
      <c r="E123">
        <v>36</v>
      </c>
      <c r="F123">
        <v>36</v>
      </c>
      <c r="G123">
        <v>38</v>
      </c>
      <c r="H123">
        <v>37</v>
      </c>
      <c r="I123">
        <v>37</v>
      </c>
      <c r="J123">
        <v>36</v>
      </c>
      <c r="K123">
        <v>36</v>
      </c>
      <c r="L123">
        <v>35</v>
      </c>
    </row>
    <row r="124" spans="1:13" x14ac:dyDescent="0.25">
      <c r="A124" t="s">
        <v>1</v>
      </c>
      <c r="B124">
        <v>127</v>
      </c>
      <c r="C124">
        <v>124</v>
      </c>
      <c r="D124">
        <v>123</v>
      </c>
      <c r="E124">
        <v>119</v>
      </c>
      <c r="F124">
        <v>117</v>
      </c>
      <c r="G124">
        <v>115</v>
      </c>
      <c r="H124">
        <v>115</v>
      </c>
      <c r="I124">
        <v>116</v>
      </c>
      <c r="J124">
        <v>112</v>
      </c>
      <c r="K124">
        <v>112</v>
      </c>
      <c r="L124">
        <v>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76B0-6289-44C0-B383-67130690C224}">
  <dimension ref="A22:Z176"/>
  <sheetViews>
    <sheetView tabSelected="1" zoomScale="70" zoomScaleNormal="70" workbookViewId="0">
      <selection activeCell="A43" sqref="A43"/>
    </sheetView>
  </sheetViews>
  <sheetFormatPr baseColWidth="10" defaultRowHeight="15" x14ac:dyDescent="0.25"/>
  <sheetData>
    <row r="22" spans="1:1" x14ac:dyDescent="0.25">
      <c r="A22" t="s">
        <v>21</v>
      </c>
    </row>
    <row r="42" spans="1:1" x14ac:dyDescent="0.25">
      <c r="A42" t="s">
        <v>31</v>
      </c>
    </row>
    <row r="78" spans="1:1" x14ac:dyDescent="0.25">
      <c r="A78" s="6" t="s">
        <v>28</v>
      </c>
    </row>
    <row r="79" spans="1:1" x14ac:dyDescent="0.25">
      <c r="A79" t="s">
        <v>30</v>
      </c>
    </row>
    <row r="80" spans="1:1" x14ac:dyDescent="0.25">
      <c r="A80" t="s">
        <v>29</v>
      </c>
    </row>
    <row r="87" spans="1:26" x14ac:dyDescent="0.25">
      <c r="A87" t="s">
        <v>10</v>
      </c>
      <c r="C87">
        <v>2016</v>
      </c>
      <c r="D87">
        <v>2017</v>
      </c>
      <c r="E87">
        <v>2018</v>
      </c>
      <c r="F87">
        <v>2019</v>
      </c>
      <c r="G87">
        <v>2020</v>
      </c>
      <c r="H87">
        <v>2021</v>
      </c>
      <c r="I87">
        <v>2022</v>
      </c>
      <c r="J87">
        <v>2023</v>
      </c>
      <c r="K87">
        <v>2024</v>
      </c>
      <c r="L87">
        <v>2025</v>
      </c>
      <c r="M87" t="s">
        <v>2</v>
      </c>
      <c r="P87" t="s">
        <v>4</v>
      </c>
    </row>
    <row r="88" spans="1:26" x14ac:dyDescent="0.25">
      <c r="A88" t="s">
        <v>4</v>
      </c>
      <c r="B88" t="s">
        <v>5</v>
      </c>
      <c r="C88">
        <v>964</v>
      </c>
      <c r="D88">
        <v>946</v>
      </c>
      <c r="E88">
        <v>1121</v>
      </c>
      <c r="F88">
        <v>1293</v>
      </c>
      <c r="G88">
        <v>1138</v>
      </c>
      <c r="H88">
        <v>964</v>
      </c>
      <c r="I88">
        <v>1653</v>
      </c>
      <c r="J88">
        <v>1448</v>
      </c>
      <c r="K88">
        <v>1283</v>
      </c>
      <c r="L88">
        <v>1252</v>
      </c>
      <c r="M88">
        <v>12062</v>
      </c>
      <c r="Q88">
        <v>2016</v>
      </c>
      <c r="R88">
        <v>2017</v>
      </c>
      <c r="S88">
        <v>2018</v>
      </c>
      <c r="T88">
        <v>2019</v>
      </c>
      <c r="U88">
        <v>2020</v>
      </c>
      <c r="V88">
        <v>2021</v>
      </c>
      <c r="W88">
        <v>2022</v>
      </c>
      <c r="X88">
        <v>2023</v>
      </c>
      <c r="Y88">
        <v>2024</v>
      </c>
      <c r="Z88">
        <v>2025</v>
      </c>
    </row>
    <row r="89" spans="1:26" x14ac:dyDescent="0.25">
      <c r="A89" t="s">
        <v>4</v>
      </c>
      <c r="B89" t="s">
        <v>6</v>
      </c>
      <c r="C89">
        <v>610</v>
      </c>
      <c r="D89">
        <v>616</v>
      </c>
      <c r="E89">
        <v>639</v>
      </c>
      <c r="F89">
        <v>686</v>
      </c>
      <c r="G89">
        <v>609</v>
      </c>
      <c r="H89">
        <v>568</v>
      </c>
      <c r="I89">
        <v>823</v>
      </c>
      <c r="J89">
        <v>689</v>
      </c>
      <c r="K89">
        <v>622</v>
      </c>
      <c r="L89">
        <v>618</v>
      </c>
      <c r="M89">
        <v>6480</v>
      </c>
      <c r="P89" t="s">
        <v>15</v>
      </c>
      <c r="Q89">
        <v>199</v>
      </c>
      <c r="R89">
        <v>207</v>
      </c>
      <c r="S89">
        <v>217</v>
      </c>
      <c r="T89">
        <v>217</v>
      </c>
      <c r="U89">
        <v>147</v>
      </c>
      <c r="V89">
        <v>128</v>
      </c>
      <c r="W89">
        <v>170</v>
      </c>
      <c r="X89">
        <v>141</v>
      </c>
      <c r="Y89">
        <v>179</v>
      </c>
      <c r="Z89">
        <v>123</v>
      </c>
    </row>
    <row r="90" spans="1:26" x14ac:dyDescent="0.25">
      <c r="A90" t="s">
        <v>4</v>
      </c>
      <c r="B90" t="s">
        <v>7</v>
      </c>
      <c r="C90">
        <v>56</v>
      </c>
      <c r="D90">
        <v>68</v>
      </c>
      <c r="E90">
        <v>59</v>
      </c>
      <c r="F90">
        <v>71</v>
      </c>
      <c r="G90">
        <v>69</v>
      </c>
      <c r="H90">
        <v>75</v>
      </c>
      <c r="I90">
        <v>121</v>
      </c>
      <c r="J90">
        <v>106</v>
      </c>
      <c r="K90">
        <v>94</v>
      </c>
      <c r="L90">
        <v>105</v>
      </c>
      <c r="M90">
        <v>824</v>
      </c>
      <c r="P90" t="s">
        <v>16</v>
      </c>
      <c r="Q90">
        <v>0</v>
      </c>
      <c r="R90">
        <v>23</v>
      </c>
      <c r="S90">
        <v>0</v>
      </c>
      <c r="T90">
        <v>0</v>
      </c>
      <c r="U90">
        <v>0</v>
      </c>
      <c r="V90">
        <v>24</v>
      </c>
      <c r="W90">
        <v>67</v>
      </c>
      <c r="X90">
        <v>48</v>
      </c>
      <c r="Y90">
        <v>35</v>
      </c>
      <c r="Z90">
        <v>40</v>
      </c>
    </row>
    <row r="91" spans="1:26" x14ac:dyDescent="0.25">
      <c r="A91" t="s">
        <v>4</v>
      </c>
      <c r="B91" t="s">
        <v>2</v>
      </c>
      <c r="C91">
        <v>1630</v>
      </c>
      <c r="D91">
        <v>1630</v>
      </c>
      <c r="E91">
        <v>1819</v>
      </c>
      <c r="F91">
        <v>2050</v>
      </c>
      <c r="G91">
        <v>1816</v>
      </c>
      <c r="H91">
        <v>1607</v>
      </c>
      <c r="I91">
        <v>2597</v>
      </c>
      <c r="J91">
        <v>2243</v>
      </c>
      <c r="K91">
        <v>1999</v>
      </c>
      <c r="L91">
        <v>1975</v>
      </c>
      <c r="M91">
        <v>19366</v>
      </c>
      <c r="P91" t="s">
        <v>17</v>
      </c>
      <c r="Q91">
        <v>0</v>
      </c>
      <c r="R91">
        <v>0</v>
      </c>
      <c r="S91">
        <v>0</v>
      </c>
      <c r="T91">
        <v>0</v>
      </c>
      <c r="U91">
        <v>26</v>
      </c>
      <c r="V91">
        <v>21</v>
      </c>
      <c r="W91">
        <v>0</v>
      </c>
      <c r="X91">
        <v>0</v>
      </c>
      <c r="Y91">
        <v>0</v>
      </c>
      <c r="Z91">
        <v>0</v>
      </c>
    </row>
    <row r="92" spans="1:26" x14ac:dyDescent="0.25">
      <c r="P92" t="s">
        <v>18</v>
      </c>
      <c r="Q92">
        <v>33</v>
      </c>
      <c r="R92">
        <v>0</v>
      </c>
      <c r="S92">
        <v>0</v>
      </c>
      <c r="T92">
        <v>33</v>
      </c>
      <c r="U92">
        <v>20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C93">
        <v>2016</v>
      </c>
      <c r="D93">
        <v>2017</v>
      </c>
      <c r="E93">
        <v>2018</v>
      </c>
      <c r="F93">
        <v>2019</v>
      </c>
      <c r="G93">
        <v>2020</v>
      </c>
      <c r="H93">
        <v>2021</v>
      </c>
      <c r="I93">
        <v>2022</v>
      </c>
      <c r="J93">
        <v>2023</v>
      </c>
      <c r="K93">
        <v>2024</v>
      </c>
      <c r="L93">
        <v>2025</v>
      </c>
      <c r="M93" t="s">
        <v>2</v>
      </c>
      <c r="P93" t="s">
        <v>19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26</v>
      </c>
    </row>
    <row r="94" spans="1:26" x14ac:dyDescent="0.25">
      <c r="A94" t="s">
        <v>0</v>
      </c>
      <c r="B94" t="s">
        <v>5</v>
      </c>
      <c r="C94">
        <v>184</v>
      </c>
      <c r="D94">
        <v>200</v>
      </c>
      <c r="E94">
        <v>226</v>
      </c>
      <c r="F94">
        <v>205</v>
      </c>
      <c r="G94">
        <v>203</v>
      </c>
      <c r="H94">
        <v>0</v>
      </c>
      <c r="I94">
        <v>0</v>
      </c>
      <c r="J94">
        <v>0</v>
      </c>
      <c r="K94">
        <v>0</v>
      </c>
      <c r="L94">
        <v>0</v>
      </c>
      <c r="M94">
        <v>1018</v>
      </c>
    </row>
    <row r="95" spans="1:26" x14ac:dyDescent="0.25">
      <c r="A95" t="s">
        <v>0</v>
      </c>
      <c r="B95" t="s">
        <v>6</v>
      </c>
      <c r="C95">
        <v>26</v>
      </c>
      <c r="D95">
        <v>29</v>
      </c>
      <c r="E95">
        <v>35</v>
      </c>
      <c r="F95">
        <v>26</v>
      </c>
      <c r="G95">
        <v>38</v>
      </c>
      <c r="H95">
        <v>18</v>
      </c>
      <c r="I95">
        <v>24</v>
      </c>
      <c r="J95">
        <v>32</v>
      </c>
      <c r="K95">
        <v>43</v>
      </c>
      <c r="L95">
        <v>52</v>
      </c>
      <c r="M95">
        <v>323</v>
      </c>
    </row>
    <row r="96" spans="1:26" x14ac:dyDescent="0.25">
      <c r="A96" t="s">
        <v>0</v>
      </c>
      <c r="B96" t="s">
        <v>7</v>
      </c>
      <c r="C96">
        <v>24</v>
      </c>
      <c r="D96">
        <v>27</v>
      </c>
      <c r="E96">
        <v>12</v>
      </c>
      <c r="F96">
        <v>20</v>
      </c>
      <c r="G96">
        <v>38</v>
      </c>
      <c r="H96">
        <v>47</v>
      </c>
      <c r="I96">
        <v>14</v>
      </c>
      <c r="J96">
        <v>43</v>
      </c>
      <c r="K96">
        <v>33</v>
      </c>
      <c r="L96">
        <v>25</v>
      </c>
      <c r="M96">
        <v>283</v>
      </c>
      <c r="P96" t="s">
        <v>0</v>
      </c>
    </row>
    <row r="97" spans="1:26" x14ac:dyDescent="0.25">
      <c r="A97" t="s">
        <v>0</v>
      </c>
      <c r="B97" t="s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207</v>
      </c>
      <c r="I97">
        <v>322</v>
      </c>
      <c r="J97">
        <v>276</v>
      </c>
      <c r="K97">
        <v>224</v>
      </c>
      <c r="L97">
        <v>200</v>
      </c>
      <c r="M97">
        <v>1229</v>
      </c>
      <c r="Q97">
        <v>2016</v>
      </c>
      <c r="R97">
        <v>2017</v>
      </c>
      <c r="S97">
        <v>2018</v>
      </c>
      <c r="T97">
        <v>2019</v>
      </c>
      <c r="U97">
        <v>2020</v>
      </c>
      <c r="V97">
        <v>2021</v>
      </c>
      <c r="W97">
        <v>2022</v>
      </c>
      <c r="X97">
        <v>2023</v>
      </c>
      <c r="Y97">
        <v>2024</v>
      </c>
      <c r="Z97">
        <v>2025</v>
      </c>
    </row>
    <row r="98" spans="1:26" x14ac:dyDescent="0.25">
      <c r="A98" t="s">
        <v>0</v>
      </c>
      <c r="B98" t="s">
        <v>2</v>
      </c>
      <c r="C98">
        <v>234</v>
      </c>
      <c r="D98">
        <v>256</v>
      </c>
      <c r="E98">
        <v>273</v>
      </c>
      <c r="F98">
        <v>251</v>
      </c>
      <c r="G98">
        <v>279</v>
      </c>
      <c r="H98">
        <v>272</v>
      </c>
      <c r="I98">
        <v>360</v>
      </c>
      <c r="J98">
        <v>351</v>
      </c>
      <c r="K98">
        <v>300</v>
      </c>
      <c r="L98">
        <v>277</v>
      </c>
      <c r="M98">
        <v>2853</v>
      </c>
      <c r="P98" t="s">
        <v>15</v>
      </c>
      <c r="Q98">
        <v>89</v>
      </c>
      <c r="R98">
        <v>99</v>
      </c>
      <c r="S98">
        <v>104</v>
      </c>
      <c r="T98">
        <v>80</v>
      </c>
      <c r="U98">
        <v>91</v>
      </c>
      <c r="V98">
        <v>59</v>
      </c>
      <c r="W98">
        <v>80</v>
      </c>
      <c r="X98">
        <v>79</v>
      </c>
      <c r="Y98">
        <v>72</v>
      </c>
      <c r="Z98">
        <v>61</v>
      </c>
    </row>
    <row r="99" spans="1:26" x14ac:dyDescent="0.25">
      <c r="P99" t="s">
        <v>16</v>
      </c>
      <c r="Q99">
        <v>0</v>
      </c>
      <c r="R99">
        <v>0</v>
      </c>
      <c r="S99">
        <v>0</v>
      </c>
      <c r="T99">
        <v>5</v>
      </c>
      <c r="U99">
        <v>0</v>
      </c>
      <c r="V99">
        <v>18</v>
      </c>
      <c r="W99">
        <v>8</v>
      </c>
      <c r="X99">
        <v>20</v>
      </c>
      <c r="Y99">
        <v>9</v>
      </c>
      <c r="Z99">
        <v>11</v>
      </c>
    </row>
    <row r="100" spans="1:26" x14ac:dyDescent="0.25">
      <c r="C100">
        <v>2016</v>
      </c>
      <c r="D100">
        <v>2017</v>
      </c>
      <c r="E100">
        <v>2018</v>
      </c>
      <c r="F100">
        <v>2019</v>
      </c>
      <c r="G100">
        <v>2020</v>
      </c>
      <c r="H100">
        <v>2021</v>
      </c>
      <c r="I100">
        <v>2022</v>
      </c>
      <c r="J100">
        <v>2023</v>
      </c>
      <c r="K100">
        <v>2024</v>
      </c>
      <c r="L100">
        <v>2025</v>
      </c>
      <c r="M100" t="s">
        <v>2</v>
      </c>
    </row>
    <row r="101" spans="1:26" x14ac:dyDescent="0.25">
      <c r="A101" t="s">
        <v>3</v>
      </c>
      <c r="B101" t="s">
        <v>5</v>
      </c>
      <c r="C101">
        <v>240</v>
      </c>
      <c r="D101">
        <v>206</v>
      </c>
      <c r="E101">
        <v>190</v>
      </c>
      <c r="F101">
        <v>208</v>
      </c>
      <c r="G101">
        <v>190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1034</v>
      </c>
      <c r="P101" t="s">
        <v>3</v>
      </c>
    </row>
    <row r="102" spans="1:26" x14ac:dyDescent="0.25">
      <c r="A102" t="s">
        <v>3</v>
      </c>
      <c r="B102" t="s">
        <v>6</v>
      </c>
      <c r="C102">
        <v>274</v>
      </c>
      <c r="D102">
        <v>114</v>
      </c>
      <c r="E102">
        <v>96</v>
      </c>
      <c r="F102">
        <v>122</v>
      </c>
      <c r="G102">
        <v>106</v>
      </c>
      <c r="H102">
        <v>67</v>
      </c>
      <c r="I102">
        <v>85</v>
      </c>
      <c r="J102">
        <v>78</v>
      </c>
      <c r="K102">
        <v>93</v>
      </c>
      <c r="L102">
        <v>65</v>
      </c>
      <c r="M102">
        <v>1100</v>
      </c>
      <c r="Q102">
        <v>2016</v>
      </c>
      <c r="R102">
        <v>2017</v>
      </c>
      <c r="S102">
        <v>2018</v>
      </c>
      <c r="T102">
        <v>2019</v>
      </c>
      <c r="U102">
        <v>2020</v>
      </c>
      <c r="V102">
        <v>2021</v>
      </c>
      <c r="W102">
        <v>2022</v>
      </c>
      <c r="X102">
        <v>2023</v>
      </c>
      <c r="Y102">
        <v>2024</v>
      </c>
      <c r="Z102">
        <v>2025</v>
      </c>
    </row>
    <row r="103" spans="1:26" x14ac:dyDescent="0.25">
      <c r="A103" t="s">
        <v>3</v>
      </c>
      <c r="B103" t="s">
        <v>7</v>
      </c>
      <c r="C103">
        <v>81</v>
      </c>
      <c r="D103">
        <v>36</v>
      </c>
      <c r="E103">
        <v>256</v>
      </c>
      <c r="F103">
        <v>81</v>
      </c>
      <c r="G103">
        <v>388</v>
      </c>
      <c r="H103">
        <v>182</v>
      </c>
      <c r="I103">
        <v>300</v>
      </c>
      <c r="J103">
        <v>124</v>
      </c>
      <c r="K103">
        <v>124</v>
      </c>
      <c r="L103">
        <v>193</v>
      </c>
      <c r="M103">
        <v>1765</v>
      </c>
      <c r="P103" t="s">
        <v>15</v>
      </c>
      <c r="Q103">
        <v>183</v>
      </c>
      <c r="R103">
        <v>88</v>
      </c>
      <c r="S103">
        <v>94</v>
      </c>
      <c r="T103">
        <v>66</v>
      </c>
      <c r="U103">
        <v>99</v>
      </c>
      <c r="V103">
        <v>52</v>
      </c>
      <c r="W103">
        <v>62</v>
      </c>
      <c r="X103">
        <v>62</v>
      </c>
      <c r="Y103">
        <v>62</v>
      </c>
      <c r="Z103">
        <v>71</v>
      </c>
    </row>
    <row r="104" spans="1:26" x14ac:dyDescent="0.25">
      <c r="A104" t="s">
        <v>3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236</v>
      </c>
      <c r="I104">
        <v>295</v>
      </c>
      <c r="J104">
        <v>263</v>
      </c>
      <c r="K104">
        <v>257</v>
      </c>
      <c r="L104">
        <v>266</v>
      </c>
      <c r="M104">
        <v>1317</v>
      </c>
      <c r="P104" t="s">
        <v>16</v>
      </c>
      <c r="Q104">
        <v>0</v>
      </c>
      <c r="R104">
        <v>8</v>
      </c>
      <c r="S104">
        <v>16</v>
      </c>
      <c r="T104">
        <v>21</v>
      </c>
      <c r="U104">
        <v>37</v>
      </c>
      <c r="V104">
        <v>50</v>
      </c>
      <c r="W104">
        <v>88</v>
      </c>
      <c r="X104">
        <v>35</v>
      </c>
      <c r="Y104">
        <v>27</v>
      </c>
      <c r="Z104">
        <v>49</v>
      </c>
    </row>
    <row r="105" spans="1:26" x14ac:dyDescent="0.25">
      <c r="A105" t="s">
        <v>3</v>
      </c>
      <c r="B105" t="s">
        <v>2</v>
      </c>
      <c r="C105">
        <v>595</v>
      </c>
      <c r="D105">
        <v>356</v>
      </c>
      <c r="E105">
        <v>542</v>
      </c>
      <c r="F105">
        <v>411</v>
      </c>
      <c r="G105">
        <v>684</v>
      </c>
      <c r="H105">
        <v>485</v>
      </c>
      <c r="I105">
        <v>680</v>
      </c>
      <c r="J105">
        <v>465</v>
      </c>
      <c r="K105">
        <v>474</v>
      </c>
      <c r="L105">
        <v>524</v>
      </c>
      <c r="M105">
        <v>5216</v>
      </c>
      <c r="P105" t="s">
        <v>20</v>
      </c>
      <c r="Q105">
        <v>0</v>
      </c>
      <c r="R105">
        <v>0</v>
      </c>
      <c r="S105">
        <v>10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10</v>
      </c>
      <c r="Z105">
        <v>0</v>
      </c>
    </row>
    <row r="107" spans="1:26" x14ac:dyDescent="0.25">
      <c r="C107">
        <v>2016</v>
      </c>
      <c r="D107">
        <v>2017</v>
      </c>
      <c r="E107">
        <v>2018</v>
      </c>
      <c r="F107">
        <v>2019</v>
      </c>
      <c r="G107">
        <v>2020</v>
      </c>
      <c r="H107">
        <v>2021</v>
      </c>
      <c r="I107">
        <v>2022</v>
      </c>
      <c r="J107">
        <v>2023</v>
      </c>
      <c r="K107">
        <v>2024</v>
      </c>
      <c r="L107">
        <v>2025</v>
      </c>
      <c r="M107" t="s">
        <v>2</v>
      </c>
      <c r="P107" t="s">
        <v>1</v>
      </c>
    </row>
    <row r="108" spans="1:26" x14ac:dyDescent="0.25">
      <c r="A108" t="s">
        <v>1</v>
      </c>
      <c r="B108" t="s">
        <v>5</v>
      </c>
      <c r="C108">
        <v>616</v>
      </c>
      <c r="D108">
        <v>593</v>
      </c>
      <c r="E108">
        <v>614</v>
      </c>
      <c r="F108">
        <v>617</v>
      </c>
      <c r="G108">
        <v>489</v>
      </c>
      <c r="H108">
        <v>461</v>
      </c>
      <c r="I108">
        <v>689</v>
      </c>
      <c r="J108">
        <v>550</v>
      </c>
      <c r="K108">
        <v>569</v>
      </c>
      <c r="L108">
        <v>564</v>
      </c>
      <c r="M108">
        <v>5762</v>
      </c>
      <c r="Q108">
        <v>2016</v>
      </c>
      <c r="R108">
        <v>2017</v>
      </c>
      <c r="S108">
        <v>2018</v>
      </c>
      <c r="T108">
        <v>2019</v>
      </c>
      <c r="U108">
        <v>2020</v>
      </c>
      <c r="V108">
        <v>2021</v>
      </c>
      <c r="W108">
        <v>2022</v>
      </c>
      <c r="X108">
        <v>2023</v>
      </c>
      <c r="Y108">
        <v>2024</v>
      </c>
      <c r="Z108">
        <v>2025</v>
      </c>
    </row>
    <row r="109" spans="1:26" x14ac:dyDescent="0.25">
      <c r="A109" t="s">
        <v>1</v>
      </c>
      <c r="B109" t="s">
        <v>6</v>
      </c>
      <c r="C109">
        <v>1002</v>
      </c>
      <c r="D109">
        <v>553</v>
      </c>
      <c r="E109">
        <v>539</v>
      </c>
      <c r="F109">
        <v>511</v>
      </c>
      <c r="G109">
        <v>501</v>
      </c>
      <c r="H109">
        <v>383</v>
      </c>
      <c r="I109">
        <v>464</v>
      </c>
      <c r="J109">
        <v>517</v>
      </c>
      <c r="K109">
        <v>532</v>
      </c>
      <c r="L109">
        <v>489</v>
      </c>
      <c r="M109">
        <v>5491</v>
      </c>
      <c r="P109" t="s">
        <v>15</v>
      </c>
      <c r="Q109">
        <v>702</v>
      </c>
      <c r="R109">
        <v>328</v>
      </c>
      <c r="S109">
        <v>313</v>
      </c>
      <c r="T109">
        <v>280</v>
      </c>
      <c r="U109">
        <v>225</v>
      </c>
      <c r="V109">
        <v>207</v>
      </c>
      <c r="W109">
        <v>266</v>
      </c>
      <c r="X109">
        <v>227</v>
      </c>
      <c r="Y109">
        <v>285</v>
      </c>
      <c r="Z109">
        <v>253</v>
      </c>
    </row>
    <row r="110" spans="1:26" x14ac:dyDescent="0.25">
      <c r="A110" t="s">
        <v>1</v>
      </c>
      <c r="B110" t="s">
        <v>7</v>
      </c>
      <c r="C110">
        <v>58</v>
      </c>
      <c r="D110">
        <v>62</v>
      </c>
      <c r="E110">
        <v>93</v>
      </c>
      <c r="F110">
        <v>86</v>
      </c>
      <c r="G110">
        <v>74</v>
      </c>
      <c r="H110">
        <v>112</v>
      </c>
      <c r="I110">
        <v>163</v>
      </c>
      <c r="J110">
        <v>87</v>
      </c>
      <c r="K110">
        <v>76</v>
      </c>
      <c r="L110">
        <v>71</v>
      </c>
      <c r="M110">
        <v>882</v>
      </c>
    </row>
    <row r="111" spans="1:26" x14ac:dyDescent="0.25">
      <c r="A111" t="s">
        <v>1</v>
      </c>
      <c r="B111" t="s">
        <v>2</v>
      </c>
      <c r="C111">
        <v>1676</v>
      </c>
      <c r="D111">
        <v>1208</v>
      </c>
      <c r="E111">
        <v>1246</v>
      </c>
      <c r="F111">
        <v>1214</v>
      </c>
      <c r="G111">
        <v>1064</v>
      </c>
      <c r="H111">
        <v>956</v>
      </c>
      <c r="I111">
        <v>1316</v>
      </c>
      <c r="J111">
        <v>1154</v>
      </c>
      <c r="K111">
        <v>1177</v>
      </c>
      <c r="L111">
        <v>1124</v>
      </c>
      <c r="M111">
        <v>12135</v>
      </c>
    </row>
    <row r="116" spans="1:13" x14ac:dyDescent="0.25">
      <c r="A116" t="s">
        <v>10</v>
      </c>
      <c r="C116">
        <v>2016</v>
      </c>
      <c r="D116">
        <v>2017</v>
      </c>
      <c r="E116">
        <v>2018</v>
      </c>
      <c r="F116">
        <v>2019</v>
      </c>
      <c r="G116">
        <v>2020</v>
      </c>
      <c r="H116">
        <v>2021</v>
      </c>
      <c r="I116">
        <v>2022</v>
      </c>
      <c r="J116">
        <v>2023</v>
      </c>
      <c r="K116">
        <v>2024</v>
      </c>
      <c r="L116">
        <v>2025</v>
      </c>
      <c r="M116" t="s">
        <v>2</v>
      </c>
    </row>
    <row r="117" spans="1:13" x14ac:dyDescent="0.25">
      <c r="A117" t="s">
        <v>4</v>
      </c>
      <c r="B117" t="s">
        <v>12</v>
      </c>
      <c r="C117">
        <v>788</v>
      </c>
      <c r="D117">
        <v>679</v>
      </c>
      <c r="E117">
        <v>877</v>
      </c>
      <c r="F117">
        <v>1040</v>
      </c>
      <c r="G117">
        <v>1021</v>
      </c>
      <c r="H117">
        <v>848</v>
      </c>
      <c r="I117">
        <v>1370</v>
      </c>
      <c r="J117">
        <v>1326</v>
      </c>
      <c r="K117">
        <v>1112</v>
      </c>
      <c r="L117">
        <v>1174</v>
      </c>
      <c r="M117">
        <v>10235</v>
      </c>
    </row>
    <row r="118" spans="1:13" x14ac:dyDescent="0.25">
      <c r="A118" t="s">
        <v>4</v>
      </c>
      <c r="B118" t="s">
        <v>14</v>
      </c>
      <c r="C118">
        <v>40</v>
      </c>
      <c r="D118">
        <v>29</v>
      </c>
      <c r="E118">
        <v>30</v>
      </c>
      <c r="F118">
        <v>48</v>
      </c>
      <c r="G118">
        <v>26</v>
      </c>
      <c r="H118">
        <v>35</v>
      </c>
      <c r="I118">
        <v>24</v>
      </c>
      <c r="J118">
        <v>39</v>
      </c>
      <c r="K118">
        <v>16</v>
      </c>
      <c r="L118">
        <v>25</v>
      </c>
      <c r="M118">
        <v>312</v>
      </c>
    </row>
    <row r="119" spans="1:13" x14ac:dyDescent="0.25">
      <c r="A119" t="s">
        <v>4</v>
      </c>
      <c r="B119" t="s">
        <v>13</v>
      </c>
      <c r="C119">
        <v>802</v>
      </c>
      <c r="D119">
        <v>922</v>
      </c>
      <c r="E119">
        <v>912</v>
      </c>
      <c r="F119">
        <v>962</v>
      </c>
      <c r="G119">
        <v>769</v>
      </c>
      <c r="H119">
        <v>724</v>
      </c>
      <c r="I119">
        <v>1203</v>
      </c>
      <c r="J119">
        <v>878</v>
      </c>
      <c r="K119">
        <v>871</v>
      </c>
      <c r="L119">
        <v>776</v>
      </c>
      <c r="M119">
        <v>8819</v>
      </c>
    </row>
    <row r="120" spans="1:13" x14ac:dyDescent="0.25">
      <c r="A120" t="s">
        <v>4</v>
      </c>
      <c r="B120" t="s">
        <v>2</v>
      </c>
      <c r="C120">
        <v>1630</v>
      </c>
      <c r="D120">
        <v>1630</v>
      </c>
      <c r="E120">
        <v>1819</v>
      </c>
      <c r="F120">
        <v>2050</v>
      </c>
      <c r="G120">
        <v>1816</v>
      </c>
      <c r="H120">
        <v>1607</v>
      </c>
      <c r="I120">
        <v>2597</v>
      </c>
      <c r="J120">
        <v>2243</v>
      </c>
      <c r="K120">
        <v>1999</v>
      </c>
      <c r="L120">
        <v>1975</v>
      </c>
      <c r="M120">
        <v>19366</v>
      </c>
    </row>
    <row r="123" spans="1:13" x14ac:dyDescent="0.25">
      <c r="C123">
        <v>2016</v>
      </c>
      <c r="D123">
        <v>2017</v>
      </c>
      <c r="E123">
        <v>2018</v>
      </c>
      <c r="F123">
        <v>2019</v>
      </c>
      <c r="G123">
        <v>2020</v>
      </c>
      <c r="H123">
        <v>2021</v>
      </c>
      <c r="I123">
        <v>2022</v>
      </c>
      <c r="J123">
        <v>2023</v>
      </c>
      <c r="K123">
        <v>2024</v>
      </c>
      <c r="L123">
        <v>2025</v>
      </c>
      <c r="M123" t="s">
        <v>2</v>
      </c>
    </row>
    <row r="124" spans="1:13" x14ac:dyDescent="0.25">
      <c r="A124" t="s">
        <v>0</v>
      </c>
      <c r="B124" t="s">
        <v>12</v>
      </c>
      <c r="C124">
        <v>78</v>
      </c>
      <c r="D124">
        <v>60</v>
      </c>
      <c r="E124">
        <v>87</v>
      </c>
      <c r="F124">
        <v>70</v>
      </c>
      <c r="G124">
        <v>64</v>
      </c>
      <c r="H124">
        <v>71</v>
      </c>
      <c r="I124">
        <v>116</v>
      </c>
      <c r="J124">
        <v>113</v>
      </c>
      <c r="K124">
        <v>78</v>
      </c>
      <c r="L124">
        <v>99</v>
      </c>
      <c r="M124">
        <v>836</v>
      </c>
    </row>
    <row r="125" spans="1:13" x14ac:dyDescent="0.25">
      <c r="A125" t="s">
        <v>0</v>
      </c>
      <c r="B125" t="s">
        <v>14</v>
      </c>
      <c r="C125">
        <v>6</v>
      </c>
      <c r="D125">
        <v>6</v>
      </c>
      <c r="E125">
        <v>12</v>
      </c>
      <c r="F125">
        <v>7</v>
      </c>
      <c r="G125">
        <v>16</v>
      </c>
      <c r="H125">
        <v>14</v>
      </c>
      <c r="I125">
        <v>17</v>
      </c>
      <c r="J125">
        <v>16</v>
      </c>
      <c r="K125">
        <v>15</v>
      </c>
      <c r="L125">
        <v>21</v>
      </c>
      <c r="M125">
        <v>130</v>
      </c>
    </row>
    <row r="126" spans="1:13" x14ac:dyDescent="0.25">
      <c r="A126" t="s">
        <v>0</v>
      </c>
      <c r="B126" t="s">
        <v>13</v>
      </c>
      <c r="C126">
        <v>150</v>
      </c>
      <c r="D126">
        <v>190</v>
      </c>
      <c r="E126">
        <v>174</v>
      </c>
      <c r="F126">
        <v>174</v>
      </c>
      <c r="G126">
        <v>199</v>
      </c>
      <c r="H126">
        <v>187</v>
      </c>
      <c r="I126">
        <v>227</v>
      </c>
      <c r="J126">
        <v>222</v>
      </c>
      <c r="K126">
        <v>207</v>
      </c>
      <c r="L126">
        <v>157</v>
      </c>
      <c r="M126">
        <v>1887</v>
      </c>
    </row>
    <row r="127" spans="1:13" x14ac:dyDescent="0.25">
      <c r="A127" t="s">
        <v>0</v>
      </c>
      <c r="B127" t="s">
        <v>2</v>
      </c>
      <c r="C127">
        <v>234</v>
      </c>
      <c r="D127">
        <v>256</v>
      </c>
      <c r="E127">
        <v>273</v>
      </c>
      <c r="F127">
        <v>251</v>
      </c>
      <c r="G127">
        <v>279</v>
      </c>
      <c r="H127">
        <v>272</v>
      </c>
      <c r="I127">
        <v>360</v>
      </c>
      <c r="J127">
        <v>351</v>
      </c>
      <c r="K127">
        <v>300</v>
      </c>
      <c r="L127">
        <v>277</v>
      </c>
      <c r="M127">
        <v>2853</v>
      </c>
    </row>
    <row r="130" spans="1:13" x14ac:dyDescent="0.25">
      <c r="C130">
        <v>2016</v>
      </c>
      <c r="D130">
        <v>2017</v>
      </c>
      <c r="E130">
        <v>2018</v>
      </c>
      <c r="F130">
        <v>2019</v>
      </c>
      <c r="G130">
        <v>2020</v>
      </c>
      <c r="H130">
        <v>2021</v>
      </c>
      <c r="I130">
        <v>2022</v>
      </c>
      <c r="J130">
        <v>2023</v>
      </c>
      <c r="K130">
        <v>2024</v>
      </c>
      <c r="L130">
        <v>2025</v>
      </c>
      <c r="M130" t="s">
        <v>2</v>
      </c>
    </row>
    <row r="131" spans="1:13" x14ac:dyDescent="0.25">
      <c r="A131" t="s">
        <v>3</v>
      </c>
      <c r="B131" t="s">
        <v>12</v>
      </c>
      <c r="C131">
        <v>223</v>
      </c>
      <c r="D131">
        <v>97</v>
      </c>
      <c r="E131">
        <v>171</v>
      </c>
      <c r="F131">
        <v>165</v>
      </c>
      <c r="G131">
        <v>292</v>
      </c>
      <c r="H131">
        <v>188</v>
      </c>
      <c r="I131">
        <v>252</v>
      </c>
      <c r="J131">
        <v>172</v>
      </c>
      <c r="K131">
        <v>168</v>
      </c>
      <c r="L131">
        <v>205</v>
      </c>
      <c r="M131">
        <v>1933</v>
      </c>
    </row>
    <row r="132" spans="1:13" x14ac:dyDescent="0.25">
      <c r="A132" t="s">
        <v>3</v>
      </c>
      <c r="B132" t="s">
        <v>14</v>
      </c>
      <c r="C132">
        <v>94</v>
      </c>
      <c r="D132">
        <v>29</v>
      </c>
      <c r="E132">
        <v>46</v>
      </c>
      <c r="F132">
        <v>19</v>
      </c>
      <c r="G132">
        <v>51</v>
      </c>
      <c r="H132">
        <v>25</v>
      </c>
      <c r="I132">
        <v>38</v>
      </c>
      <c r="J132">
        <v>39</v>
      </c>
      <c r="K132">
        <v>30</v>
      </c>
      <c r="L132">
        <v>39</v>
      </c>
      <c r="M132">
        <v>410</v>
      </c>
    </row>
    <row r="133" spans="1:13" x14ac:dyDescent="0.25">
      <c r="A133" t="s">
        <v>3</v>
      </c>
      <c r="B133" t="s">
        <v>13</v>
      </c>
      <c r="C133">
        <v>278</v>
      </c>
      <c r="D133">
        <v>230</v>
      </c>
      <c r="E133">
        <v>325</v>
      </c>
      <c r="F133">
        <v>227</v>
      </c>
      <c r="G133">
        <v>341</v>
      </c>
      <c r="H133">
        <v>272</v>
      </c>
      <c r="I133">
        <v>390</v>
      </c>
      <c r="J133">
        <v>254</v>
      </c>
      <c r="K133">
        <v>276</v>
      </c>
      <c r="L133">
        <v>280</v>
      </c>
      <c r="M133">
        <v>2873</v>
      </c>
    </row>
    <row r="134" spans="1:13" x14ac:dyDescent="0.25">
      <c r="A134" t="s">
        <v>3</v>
      </c>
      <c r="B134" t="s">
        <v>2</v>
      </c>
      <c r="C134">
        <v>595</v>
      </c>
      <c r="D134">
        <v>356</v>
      </c>
      <c r="E134">
        <v>542</v>
      </c>
      <c r="F134">
        <v>411</v>
      </c>
      <c r="G134">
        <v>684</v>
      </c>
      <c r="H134">
        <v>485</v>
      </c>
      <c r="I134">
        <v>680</v>
      </c>
      <c r="J134">
        <v>465</v>
      </c>
      <c r="K134">
        <v>474</v>
      </c>
      <c r="L134">
        <v>524</v>
      </c>
      <c r="M134">
        <v>5216</v>
      </c>
    </row>
    <row r="137" spans="1:13" x14ac:dyDescent="0.25">
      <c r="C137">
        <v>2016</v>
      </c>
      <c r="D137">
        <v>2017</v>
      </c>
      <c r="E137">
        <v>2018</v>
      </c>
      <c r="F137">
        <v>2019</v>
      </c>
      <c r="G137">
        <v>2020</v>
      </c>
      <c r="H137">
        <v>2021</v>
      </c>
      <c r="I137">
        <v>2022</v>
      </c>
      <c r="J137">
        <v>2023</v>
      </c>
      <c r="K137">
        <v>2024</v>
      </c>
      <c r="L137">
        <v>2025</v>
      </c>
      <c r="M137" t="s">
        <v>2</v>
      </c>
    </row>
    <row r="138" spans="1:13" x14ac:dyDescent="0.25">
      <c r="A138" t="s">
        <v>1</v>
      </c>
      <c r="B138" t="s">
        <v>12</v>
      </c>
      <c r="C138">
        <v>389</v>
      </c>
      <c r="D138">
        <v>403</v>
      </c>
      <c r="E138">
        <v>469</v>
      </c>
      <c r="F138">
        <v>471</v>
      </c>
      <c r="G138">
        <v>409</v>
      </c>
      <c r="H138">
        <v>382</v>
      </c>
      <c r="I138">
        <v>506</v>
      </c>
      <c r="J138">
        <v>489</v>
      </c>
      <c r="K138">
        <v>437</v>
      </c>
      <c r="L138">
        <v>487</v>
      </c>
      <c r="M138">
        <v>4442</v>
      </c>
    </row>
    <row r="139" spans="1:13" x14ac:dyDescent="0.25">
      <c r="A139" t="s">
        <v>1</v>
      </c>
      <c r="B139" t="s">
        <v>14</v>
      </c>
      <c r="C139">
        <v>30</v>
      </c>
      <c r="D139">
        <v>21</v>
      </c>
      <c r="E139">
        <v>15</v>
      </c>
      <c r="F139">
        <v>15</v>
      </c>
      <c r="G139">
        <v>17</v>
      </c>
      <c r="H139">
        <v>18</v>
      </c>
      <c r="I139">
        <v>16</v>
      </c>
      <c r="J139">
        <v>14</v>
      </c>
      <c r="K139">
        <v>15</v>
      </c>
      <c r="L139">
        <v>16</v>
      </c>
      <c r="M139">
        <v>177</v>
      </c>
    </row>
    <row r="140" spans="1:13" x14ac:dyDescent="0.25">
      <c r="A140" t="s">
        <v>1</v>
      </c>
      <c r="B140" t="s">
        <v>13</v>
      </c>
      <c r="C140">
        <v>1257</v>
      </c>
      <c r="D140">
        <v>784</v>
      </c>
      <c r="E140">
        <v>762</v>
      </c>
      <c r="F140">
        <v>728</v>
      </c>
      <c r="G140">
        <v>638</v>
      </c>
      <c r="H140">
        <v>556</v>
      </c>
      <c r="I140">
        <v>794</v>
      </c>
      <c r="J140">
        <v>651</v>
      </c>
      <c r="K140">
        <v>725</v>
      </c>
      <c r="L140">
        <v>621</v>
      </c>
      <c r="M140">
        <v>7516</v>
      </c>
    </row>
    <row r="141" spans="1:13" x14ac:dyDescent="0.25">
      <c r="A141" t="s">
        <v>1</v>
      </c>
      <c r="B141" t="s">
        <v>2</v>
      </c>
      <c r="C141">
        <v>1676</v>
      </c>
      <c r="D141">
        <v>1208</v>
      </c>
      <c r="E141">
        <v>1246</v>
      </c>
      <c r="F141">
        <v>1214</v>
      </c>
      <c r="G141">
        <v>1064</v>
      </c>
      <c r="H141">
        <v>956</v>
      </c>
      <c r="I141">
        <v>1316</v>
      </c>
      <c r="J141">
        <v>1154</v>
      </c>
      <c r="K141">
        <v>1177</v>
      </c>
      <c r="L141">
        <v>1124</v>
      </c>
      <c r="M141">
        <v>12135</v>
      </c>
    </row>
    <row r="147" spans="1:12" x14ac:dyDescent="0.25">
      <c r="B147">
        <v>2015</v>
      </c>
      <c r="C147">
        <v>2016</v>
      </c>
      <c r="D147">
        <v>2017</v>
      </c>
      <c r="E147">
        <v>2018</v>
      </c>
      <c r="F147">
        <v>2019</v>
      </c>
      <c r="G147">
        <v>2020</v>
      </c>
      <c r="H147">
        <v>2021</v>
      </c>
      <c r="I147">
        <v>2022</v>
      </c>
      <c r="J147">
        <v>2023</v>
      </c>
      <c r="K147">
        <v>2024</v>
      </c>
      <c r="L147">
        <v>2025</v>
      </c>
    </row>
    <row r="148" spans="1:12" x14ac:dyDescent="0.25">
      <c r="A148" t="s">
        <v>22</v>
      </c>
      <c r="B148">
        <v>44401</v>
      </c>
      <c r="C148">
        <v>44734</v>
      </c>
      <c r="D148">
        <v>45119</v>
      </c>
      <c r="E148">
        <v>45681</v>
      </c>
      <c r="F148">
        <v>46188</v>
      </c>
      <c r="G148">
        <v>46654</v>
      </c>
      <c r="H148">
        <v>47287</v>
      </c>
      <c r="I148">
        <v>48178</v>
      </c>
      <c r="J148">
        <v>48234</v>
      </c>
      <c r="K148">
        <v>47645</v>
      </c>
      <c r="L148">
        <v>47372</v>
      </c>
    </row>
    <row r="149" spans="1:12" x14ac:dyDescent="0.25">
      <c r="A149" t="s">
        <v>23</v>
      </c>
      <c r="C149">
        <v>39016</v>
      </c>
      <c r="D149">
        <v>39570</v>
      </c>
      <c r="E149">
        <v>40162</v>
      </c>
      <c r="F149">
        <v>40543</v>
      </c>
      <c r="G149">
        <v>41163</v>
      </c>
      <c r="H149">
        <v>41913</v>
      </c>
      <c r="I149">
        <v>41673</v>
      </c>
      <c r="J149">
        <v>42118</v>
      </c>
      <c r="K149">
        <v>42094</v>
      </c>
      <c r="L149">
        <v>41913</v>
      </c>
    </row>
    <row r="150" spans="1:12" x14ac:dyDescent="0.25">
      <c r="A150" t="s">
        <v>24</v>
      </c>
      <c r="C150">
        <v>1630</v>
      </c>
      <c r="D150">
        <v>1630</v>
      </c>
      <c r="E150">
        <v>1819</v>
      </c>
      <c r="F150">
        <v>2050</v>
      </c>
      <c r="G150">
        <v>1816</v>
      </c>
      <c r="H150">
        <v>1607</v>
      </c>
      <c r="I150">
        <v>2597</v>
      </c>
      <c r="J150">
        <v>2243</v>
      </c>
      <c r="K150">
        <v>1999</v>
      </c>
      <c r="L150">
        <v>1975</v>
      </c>
    </row>
    <row r="151" spans="1:12" x14ac:dyDescent="0.25">
      <c r="A151" t="s">
        <v>25</v>
      </c>
      <c r="C151">
        <v>4088</v>
      </c>
      <c r="D151">
        <v>3919</v>
      </c>
      <c r="E151">
        <v>3700</v>
      </c>
      <c r="F151">
        <v>3595</v>
      </c>
      <c r="G151">
        <v>3675</v>
      </c>
      <c r="H151">
        <v>3767</v>
      </c>
      <c r="I151">
        <v>3908</v>
      </c>
      <c r="J151">
        <v>3873</v>
      </c>
      <c r="K151">
        <v>3552</v>
      </c>
      <c r="L151">
        <v>3484</v>
      </c>
    </row>
    <row r="152" spans="1:12" x14ac:dyDescent="0.25">
      <c r="A152" t="s">
        <v>26</v>
      </c>
      <c r="B152">
        <v>2591</v>
      </c>
      <c r="C152">
        <v>2377</v>
      </c>
      <c r="D152">
        <v>2073</v>
      </c>
      <c r="E152">
        <v>2188</v>
      </c>
      <c r="F152">
        <v>1962</v>
      </c>
      <c r="G152">
        <v>1466</v>
      </c>
      <c r="H152">
        <v>2208</v>
      </c>
      <c r="I152">
        <v>2519</v>
      </c>
      <c r="J152">
        <v>2531</v>
      </c>
      <c r="K152">
        <v>2252</v>
      </c>
    </row>
    <row r="154" spans="1:12" x14ac:dyDescent="0.25">
      <c r="A154" t="s">
        <v>0</v>
      </c>
    </row>
    <row r="155" spans="1:12" x14ac:dyDescent="0.25">
      <c r="B155">
        <v>2015</v>
      </c>
      <c r="C155">
        <v>2016</v>
      </c>
      <c r="D155">
        <v>2017</v>
      </c>
      <c r="E155">
        <v>2018</v>
      </c>
      <c r="F155">
        <v>2019</v>
      </c>
      <c r="G155">
        <v>2020</v>
      </c>
      <c r="H155">
        <v>2021</v>
      </c>
      <c r="I155">
        <v>2022</v>
      </c>
      <c r="J155">
        <v>2023</v>
      </c>
      <c r="K155">
        <v>2024</v>
      </c>
      <c r="L155">
        <v>2025</v>
      </c>
    </row>
    <row r="156" spans="1:12" x14ac:dyDescent="0.25">
      <c r="A156" t="s">
        <v>22</v>
      </c>
      <c r="B156">
        <v>3419</v>
      </c>
      <c r="C156">
        <v>3415</v>
      </c>
      <c r="D156">
        <v>3462</v>
      </c>
      <c r="E156">
        <v>3513</v>
      </c>
      <c r="F156">
        <v>3542</v>
      </c>
      <c r="G156">
        <v>3601</v>
      </c>
      <c r="H156">
        <v>3722</v>
      </c>
      <c r="I156">
        <v>3900</v>
      </c>
      <c r="J156">
        <v>3986</v>
      </c>
      <c r="K156">
        <v>3953</v>
      </c>
      <c r="L156">
        <v>3934</v>
      </c>
    </row>
    <row r="157" spans="1:12" x14ac:dyDescent="0.25">
      <c r="A157" t="s">
        <v>23</v>
      </c>
      <c r="C157">
        <v>2873</v>
      </c>
      <c r="D157">
        <v>2895</v>
      </c>
      <c r="E157">
        <v>2929</v>
      </c>
      <c r="F157">
        <v>3001</v>
      </c>
      <c r="G157">
        <v>3054</v>
      </c>
      <c r="H157">
        <v>3155</v>
      </c>
      <c r="I157">
        <v>3231</v>
      </c>
      <c r="J157">
        <v>3333</v>
      </c>
      <c r="K157">
        <v>3353</v>
      </c>
      <c r="L157">
        <v>3371</v>
      </c>
    </row>
    <row r="158" spans="1:12" x14ac:dyDescent="0.25">
      <c r="A158" t="s">
        <v>24</v>
      </c>
      <c r="C158">
        <v>234</v>
      </c>
      <c r="D158">
        <v>256</v>
      </c>
      <c r="E158">
        <v>273</v>
      </c>
      <c r="F158">
        <v>251</v>
      </c>
      <c r="G158">
        <v>279</v>
      </c>
      <c r="H158">
        <v>272</v>
      </c>
      <c r="I158">
        <v>360</v>
      </c>
      <c r="J158">
        <v>351</v>
      </c>
      <c r="K158">
        <v>300</v>
      </c>
      <c r="L158">
        <v>277</v>
      </c>
    </row>
    <row r="159" spans="1:12" x14ac:dyDescent="0.25">
      <c r="A159" t="s">
        <v>27</v>
      </c>
      <c r="C159">
        <v>308</v>
      </c>
      <c r="D159">
        <v>311</v>
      </c>
      <c r="E159">
        <v>311</v>
      </c>
      <c r="F159">
        <v>290</v>
      </c>
      <c r="G159">
        <v>268</v>
      </c>
      <c r="H159">
        <v>295</v>
      </c>
      <c r="I159">
        <v>309</v>
      </c>
      <c r="J159">
        <v>302</v>
      </c>
      <c r="K159">
        <v>300</v>
      </c>
      <c r="L159">
        <v>286</v>
      </c>
    </row>
    <row r="160" spans="1:12" x14ac:dyDescent="0.25">
      <c r="A160" t="s">
        <v>26</v>
      </c>
      <c r="B160">
        <v>298</v>
      </c>
      <c r="C160">
        <v>273</v>
      </c>
      <c r="D160">
        <v>287</v>
      </c>
      <c r="E160">
        <v>283</v>
      </c>
      <c r="F160">
        <v>257</v>
      </c>
      <c r="G160">
        <v>186</v>
      </c>
      <c r="H160">
        <v>265</v>
      </c>
      <c r="I160">
        <v>317</v>
      </c>
      <c r="J160">
        <v>341</v>
      </c>
      <c r="K160">
        <v>335</v>
      </c>
    </row>
    <row r="162" spans="1:12" x14ac:dyDescent="0.25">
      <c r="A162" t="s">
        <v>3</v>
      </c>
    </row>
    <row r="163" spans="1:12" x14ac:dyDescent="0.25">
      <c r="B163">
        <v>2015</v>
      </c>
      <c r="C163">
        <v>2016</v>
      </c>
      <c r="D163">
        <v>2017</v>
      </c>
      <c r="E163">
        <v>2018</v>
      </c>
      <c r="F163">
        <v>2019</v>
      </c>
      <c r="G163">
        <v>2020</v>
      </c>
      <c r="H163">
        <v>2021</v>
      </c>
      <c r="I163">
        <v>2022</v>
      </c>
      <c r="J163">
        <v>2023</v>
      </c>
      <c r="K163">
        <v>2024</v>
      </c>
      <c r="L163">
        <v>2025</v>
      </c>
    </row>
    <row r="164" spans="1:12" x14ac:dyDescent="0.25">
      <c r="A164" t="s">
        <v>22</v>
      </c>
      <c r="B164">
        <v>7720</v>
      </c>
      <c r="C164">
        <v>8065</v>
      </c>
      <c r="D164">
        <v>8120</v>
      </c>
      <c r="E164">
        <v>8414</v>
      </c>
      <c r="F164">
        <v>8330</v>
      </c>
      <c r="G164">
        <v>8813</v>
      </c>
      <c r="H164">
        <v>9114</v>
      </c>
      <c r="I164">
        <v>9558</v>
      </c>
      <c r="J164">
        <v>9827</v>
      </c>
      <c r="K164">
        <v>9914</v>
      </c>
      <c r="L164">
        <v>9961</v>
      </c>
    </row>
    <row r="165" spans="1:12" x14ac:dyDescent="0.25">
      <c r="A165" t="s">
        <v>23</v>
      </c>
      <c r="C165">
        <v>6811</v>
      </c>
      <c r="D165">
        <v>7097</v>
      </c>
      <c r="E165">
        <v>7152</v>
      </c>
      <c r="F165">
        <v>7211</v>
      </c>
      <c r="G165">
        <v>7425</v>
      </c>
      <c r="H165">
        <v>7887</v>
      </c>
      <c r="I165">
        <v>8063</v>
      </c>
      <c r="J165">
        <v>8569</v>
      </c>
      <c r="K165">
        <v>8724</v>
      </c>
      <c r="L165">
        <v>8703</v>
      </c>
    </row>
    <row r="166" spans="1:12" x14ac:dyDescent="0.25">
      <c r="A166" t="s">
        <v>24</v>
      </c>
      <c r="C166">
        <v>595</v>
      </c>
      <c r="D166">
        <v>356</v>
      </c>
      <c r="E166">
        <v>542</v>
      </c>
      <c r="F166">
        <v>411</v>
      </c>
      <c r="G166">
        <v>684</v>
      </c>
      <c r="H166">
        <v>485</v>
      </c>
      <c r="I166">
        <v>680</v>
      </c>
      <c r="J166">
        <v>465</v>
      </c>
      <c r="K166">
        <v>474</v>
      </c>
      <c r="L166">
        <v>524</v>
      </c>
    </row>
    <row r="167" spans="1:12" x14ac:dyDescent="0.25">
      <c r="A167" t="s">
        <v>27</v>
      </c>
      <c r="C167">
        <v>659</v>
      </c>
      <c r="D167">
        <v>667</v>
      </c>
      <c r="E167">
        <v>720</v>
      </c>
      <c r="F167">
        <v>708</v>
      </c>
      <c r="G167">
        <v>704</v>
      </c>
      <c r="H167">
        <v>742</v>
      </c>
      <c r="I167">
        <v>815</v>
      </c>
      <c r="J167">
        <v>793</v>
      </c>
      <c r="K167">
        <v>716</v>
      </c>
      <c r="L167">
        <v>734</v>
      </c>
    </row>
    <row r="168" spans="1:12" x14ac:dyDescent="0.25">
      <c r="A168" t="s">
        <v>26</v>
      </c>
      <c r="B168">
        <v>469</v>
      </c>
      <c r="C168">
        <v>492</v>
      </c>
      <c r="D168">
        <v>433</v>
      </c>
      <c r="E168">
        <v>596</v>
      </c>
      <c r="F168">
        <v>389</v>
      </c>
      <c r="G168">
        <v>341</v>
      </c>
      <c r="H168">
        <v>452</v>
      </c>
      <c r="I168">
        <v>455</v>
      </c>
      <c r="J168">
        <v>475</v>
      </c>
      <c r="K168">
        <v>456</v>
      </c>
    </row>
    <row r="170" spans="1:12" x14ac:dyDescent="0.25">
      <c r="A170" t="s">
        <v>1</v>
      </c>
    </row>
    <row r="171" spans="1:12" x14ac:dyDescent="0.25">
      <c r="B171">
        <v>2015</v>
      </c>
      <c r="C171">
        <v>2016</v>
      </c>
      <c r="D171">
        <v>2017</v>
      </c>
      <c r="E171">
        <v>2018</v>
      </c>
      <c r="F171">
        <v>2019</v>
      </c>
      <c r="G171">
        <v>2020</v>
      </c>
      <c r="H171">
        <v>2021</v>
      </c>
      <c r="I171">
        <v>2022</v>
      </c>
      <c r="J171">
        <v>2023</v>
      </c>
      <c r="K171">
        <v>2024</v>
      </c>
      <c r="L171">
        <v>2025</v>
      </c>
    </row>
    <row r="172" spans="1:12" x14ac:dyDescent="0.25">
      <c r="A172" t="s">
        <v>22</v>
      </c>
      <c r="B172">
        <v>29073</v>
      </c>
      <c r="C172">
        <v>29370</v>
      </c>
      <c r="D172">
        <v>28914</v>
      </c>
      <c r="E172">
        <v>28997</v>
      </c>
      <c r="F172">
        <v>28998</v>
      </c>
      <c r="G172">
        <v>28737</v>
      </c>
      <c r="H172">
        <v>28894</v>
      </c>
      <c r="I172">
        <v>28924</v>
      </c>
      <c r="J172">
        <v>28483</v>
      </c>
      <c r="K172">
        <v>28061</v>
      </c>
      <c r="L172">
        <v>27520</v>
      </c>
    </row>
    <row r="173" spans="1:12" x14ac:dyDescent="0.25">
      <c r="A173" t="s">
        <v>23</v>
      </c>
      <c r="C173">
        <v>25298</v>
      </c>
      <c r="D173">
        <v>25252</v>
      </c>
      <c r="E173">
        <v>25367</v>
      </c>
      <c r="F173">
        <v>25490</v>
      </c>
      <c r="G173">
        <v>25516</v>
      </c>
      <c r="H173">
        <v>25794</v>
      </c>
      <c r="I173">
        <v>25365</v>
      </c>
      <c r="J173">
        <v>25317</v>
      </c>
      <c r="K173">
        <v>24936</v>
      </c>
      <c r="L173">
        <v>24508</v>
      </c>
    </row>
    <row r="174" spans="1:12" x14ac:dyDescent="0.25">
      <c r="A174" t="s">
        <v>24</v>
      </c>
      <c r="C174">
        <v>1676</v>
      </c>
      <c r="D174">
        <v>1208</v>
      </c>
      <c r="E174">
        <v>1246</v>
      </c>
      <c r="F174">
        <v>1214</v>
      </c>
      <c r="G174">
        <v>1064</v>
      </c>
      <c r="H174">
        <v>956</v>
      </c>
      <c r="I174">
        <v>1316</v>
      </c>
      <c r="J174">
        <v>1154</v>
      </c>
      <c r="K174">
        <v>1177</v>
      </c>
      <c r="L174">
        <v>1124</v>
      </c>
    </row>
    <row r="175" spans="1:12" x14ac:dyDescent="0.25">
      <c r="A175" t="s">
        <v>27</v>
      </c>
      <c r="C175">
        <v>2396</v>
      </c>
      <c r="D175">
        <v>2454</v>
      </c>
      <c r="E175">
        <v>2384</v>
      </c>
      <c r="F175">
        <v>2294</v>
      </c>
      <c r="G175">
        <v>2157</v>
      </c>
      <c r="H175">
        <v>2144</v>
      </c>
      <c r="I175">
        <v>2243</v>
      </c>
      <c r="J175">
        <v>2012</v>
      </c>
      <c r="K175">
        <v>1948</v>
      </c>
      <c r="L175">
        <v>1888</v>
      </c>
    </row>
    <row r="176" spans="1:12" x14ac:dyDescent="0.25">
      <c r="A176" t="s">
        <v>26</v>
      </c>
      <c r="B176">
        <v>1675</v>
      </c>
      <c r="C176">
        <v>2053</v>
      </c>
      <c r="D176">
        <v>1533</v>
      </c>
      <c r="E176">
        <v>1511</v>
      </c>
      <c r="F176">
        <v>1454</v>
      </c>
      <c r="G176">
        <v>952</v>
      </c>
      <c r="H176">
        <v>1391</v>
      </c>
      <c r="I176">
        <v>1332</v>
      </c>
      <c r="J176">
        <v>1361</v>
      </c>
      <c r="K176">
        <v>1240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Establecimientos</vt:lpstr>
      <vt:lpstr>Migración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Bustamante</dc:creator>
  <cp:lastModifiedBy>Gonzalo Bustamante</cp:lastModifiedBy>
  <dcterms:created xsi:type="dcterms:W3CDTF">2015-06-05T18:19:34Z</dcterms:created>
  <dcterms:modified xsi:type="dcterms:W3CDTF">2026-09-17T20:06:53Z</dcterms:modified>
</cp:coreProperties>
</file>